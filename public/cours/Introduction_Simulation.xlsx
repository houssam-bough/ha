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HLAM~1.AZZ\AppData\Local\Temp\Rar$DIa22748.48690\"/>
    </mc:Choice>
  </mc:AlternateContent>
  <xr:revisionPtr revIDLastSave="0" documentId="13_ncr:1_{C54D148B-6B74-4E1B-B596-7F52E1523D0D}" xr6:coauthVersionLast="47" xr6:coauthVersionMax="47" xr10:uidLastSave="{00000000-0000-0000-0000-000000000000}"/>
  <bookViews>
    <workbookView xWindow="-108" yWindow="-108" windowWidth="23256" windowHeight="12576" tabRatio="898" firstSheet="1" activeTab="1" xr2:uid="{00000000-000D-0000-FFFF-FFFF00000000}"/>
  </bookViews>
  <sheets>
    <sheet name="_@RISKFitInformation" sheetId="10" state="hidden" r:id="rId1"/>
    <sheet name="Arivées de Poisson" sheetId="2" r:id="rId2"/>
    <sheet name="Monte Carlo" sheetId="1" r:id="rId3"/>
    <sheet name="Génération-Reconnaissance" sheetId="8" r:id="rId4"/>
    <sheet name="Exemple 1 - Définition de R" sheetId="6" r:id="rId5"/>
    <sheet name="Exemple 1 - Simulation" sheetId="7" r:id="rId6"/>
    <sheet name="LOI_Normale" sheetId="9" r:id="rId7"/>
    <sheet name="File d'attente" sheetId="5" r:id="rId8"/>
    <sheet name="ERLANG" sheetId="3" r:id="rId9"/>
  </sheets>
  <definedNames>
    <definedName name="_AtRisk_FitDataRange_FIT_DB86E_B324C" hidden="1">'Arivées de Poisson'!$J$85:$J$284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anualCount" hidden="1">4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0" l="1"/>
  <c r="B7" i="2"/>
  <c r="A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1" i="9"/>
  <c r="I2" i="6"/>
  <c r="E5" i="6"/>
  <c r="A8" i="2"/>
  <c r="B8" i="2" s="1"/>
  <c r="C85" i="2"/>
  <c r="I85" i="2" s="1"/>
  <c r="X4" i="3"/>
  <c r="A5" i="3"/>
  <c r="H1" i="5"/>
  <c r="F18" i="5" s="1"/>
  <c r="A4" i="1"/>
  <c r="A5" i="1"/>
  <c r="A6" i="1"/>
  <c r="B7" i="1"/>
  <c r="A7" i="1" s="1"/>
  <c r="A26" i="1"/>
  <c r="B35" i="1"/>
  <c r="D35" i="1"/>
  <c r="E35" i="1" s="1"/>
  <c r="B36" i="1"/>
  <c r="B37" i="1"/>
  <c r="B38" i="1"/>
  <c r="B39" i="1"/>
  <c r="B40" i="1"/>
  <c r="B41" i="1"/>
  <c r="B42" i="1"/>
  <c r="B46" i="1"/>
  <c r="D46" i="1"/>
  <c r="E46" i="1" s="1"/>
  <c r="G46" i="1"/>
  <c r="B47" i="1"/>
  <c r="D47" i="1"/>
  <c r="E47" i="1" s="1"/>
  <c r="G47" i="1"/>
  <c r="B48" i="1"/>
  <c r="D48" i="1"/>
  <c r="E48" i="1" s="1"/>
  <c r="G48" i="1"/>
  <c r="K48" i="1"/>
  <c r="B49" i="1"/>
  <c r="D49" i="1"/>
  <c r="E49" i="1" s="1"/>
  <c r="G49" i="1"/>
  <c r="K49" i="1"/>
  <c r="B50" i="1"/>
  <c r="D50" i="1"/>
  <c r="E50" i="1" s="1"/>
  <c r="G50" i="1"/>
  <c r="K50" i="1"/>
  <c r="B51" i="1"/>
  <c r="D51" i="1"/>
  <c r="E51" i="1" s="1"/>
  <c r="G51" i="1"/>
  <c r="K51" i="1"/>
  <c r="B52" i="1"/>
  <c r="D52" i="1"/>
  <c r="E52" i="1" s="1"/>
  <c r="G52" i="1"/>
  <c r="K52" i="1"/>
  <c r="B53" i="1"/>
  <c r="D53" i="1"/>
  <c r="E53" i="1" s="1"/>
  <c r="G53" i="1"/>
  <c r="K53" i="1"/>
  <c r="D54" i="1"/>
  <c r="E54" i="1" s="1"/>
  <c r="G54" i="1"/>
  <c r="K54" i="1"/>
  <c r="D55" i="1"/>
  <c r="E55" i="1" s="1"/>
  <c r="G55" i="1"/>
  <c r="K55" i="1"/>
  <c r="D56" i="1"/>
  <c r="E56" i="1" s="1"/>
  <c r="G56" i="1"/>
  <c r="K56" i="1"/>
  <c r="D57" i="1"/>
  <c r="E57" i="1" s="1"/>
  <c r="G57" i="1"/>
  <c r="K57" i="1"/>
  <c r="D58" i="1"/>
  <c r="E58" i="1" s="1"/>
  <c r="G58" i="1"/>
  <c r="K58" i="1"/>
  <c r="D59" i="1"/>
  <c r="E59" i="1" s="1"/>
  <c r="G59" i="1"/>
  <c r="K59" i="1"/>
  <c r="K68" i="1"/>
  <c r="K69" i="1" s="1"/>
  <c r="K70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7" i="1"/>
  <c r="L87" i="1" s="1"/>
  <c r="J88" i="1"/>
  <c r="L88" i="1" s="1"/>
  <c r="J89" i="1"/>
  <c r="M89" i="1" s="1"/>
  <c r="J90" i="1"/>
  <c r="K90" i="1" s="1"/>
  <c r="J91" i="1"/>
  <c r="K91" i="1" s="1"/>
  <c r="J92" i="1"/>
  <c r="K92" i="1" s="1"/>
  <c r="J93" i="1"/>
  <c r="M93" i="1" s="1"/>
  <c r="J94" i="1"/>
  <c r="L94" i="1" s="1"/>
  <c r="J95" i="1"/>
  <c r="L95" i="1" s="1"/>
  <c r="J96" i="1"/>
  <c r="K96" i="1" s="1"/>
  <c r="I1" i="6"/>
  <c r="B5" i="6"/>
  <c r="C5" i="6" s="1"/>
  <c r="B6" i="6"/>
  <c r="C6" i="6"/>
  <c r="B7" i="6"/>
  <c r="C7" i="6"/>
  <c r="B8" i="6"/>
  <c r="C8" i="6" s="1"/>
  <c r="B9" i="6"/>
  <c r="C9" i="6" s="1"/>
  <c r="B10" i="6"/>
  <c r="C10" i="6"/>
  <c r="B11" i="6"/>
  <c r="C11" i="6"/>
  <c r="B12" i="6"/>
  <c r="C12" i="6" s="1"/>
  <c r="B13" i="6"/>
  <c r="C13" i="6" s="1"/>
  <c r="B14" i="6"/>
  <c r="C14" i="6"/>
  <c r="B15" i="6"/>
  <c r="C15" i="6"/>
  <c r="B16" i="6"/>
  <c r="C16" i="6" s="1"/>
  <c r="B17" i="6"/>
  <c r="C17" i="6" s="1"/>
  <c r="B18" i="6"/>
  <c r="C18" i="6" s="1"/>
  <c r="B19" i="6"/>
  <c r="C19" i="6"/>
  <c r="B20" i="6"/>
  <c r="C20" i="6" s="1"/>
  <c r="B21" i="6"/>
  <c r="C21" i="6" s="1"/>
  <c r="B22" i="6"/>
  <c r="C22" i="6"/>
  <c r="B23" i="6"/>
  <c r="C23" i="6" s="1"/>
  <c r="B24" i="6"/>
  <c r="C24" i="6" s="1"/>
  <c r="B25" i="6"/>
  <c r="C25" i="6" s="1"/>
  <c r="B26" i="6"/>
  <c r="C26" i="6"/>
  <c r="B27" i="6"/>
  <c r="C27" i="6"/>
  <c r="B28" i="6"/>
  <c r="C28" i="6" s="1"/>
  <c r="B29" i="6"/>
  <c r="C29" i="6" s="1"/>
  <c r="B30" i="6"/>
  <c r="C30" i="6"/>
  <c r="B31" i="6"/>
  <c r="C31" i="6"/>
  <c r="B32" i="6"/>
  <c r="C32" i="6" s="1"/>
  <c r="B33" i="6"/>
  <c r="C33" i="6" s="1"/>
  <c r="B34" i="6"/>
  <c r="C34" i="6" s="1"/>
  <c r="B35" i="6"/>
  <c r="C35" i="6"/>
  <c r="B36" i="6"/>
  <c r="C36" i="6" s="1"/>
  <c r="B37" i="6"/>
  <c r="C37" i="6" s="1"/>
  <c r="B38" i="6"/>
  <c r="C38" i="6"/>
  <c r="B39" i="6"/>
  <c r="C39" i="6" s="1"/>
  <c r="B40" i="6"/>
  <c r="C40" i="6" s="1"/>
  <c r="B41" i="6"/>
  <c r="C41" i="6" s="1"/>
  <c r="B42" i="6"/>
  <c r="C42" i="6"/>
  <c r="B43" i="6"/>
  <c r="C43" i="6"/>
  <c r="B44" i="6"/>
  <c r="C44" i="6" s="1"/>
  <c r="B45" i="6"/>
  <c r="C45" i="6" s="1"/>
  <c r="B46" i="6"/>
  <c r="C46" i="6"/>
  <c r="B47" i="6"/>
  <c r="C47" i="6" s="1"/>
  <c r="B48" i="6"/>
  <c r="C48" i="6" s="1"/>
  <c r="B49" i="6"/>
  <c r="C49" i="6" s="1"/>
  <c r="B50" i="6"/>
  <c r="C50" i="6" s="1"/>
  <c r="B51" i="6"/>
  <c r="C51" i="6"/>
  <c r="B52" i="6"/>
  <c r="C52" i="6" s="1"/>
  <c r="B53" i="6"/>
  <c r="C53" i="6" s="1"/>
  <c r="B54" i="6"/>
  <c r="C54" i="6"/>
  <c r="B55" i="6"/>
  <c r="C55" i="6" s="1"/>
  <c r="B56" i="6"/>
  <c r="C56" i="6" s="1"/>
  <c r="B57" i="6"/>
  <c r="C57" i="6" s="1"/>
  <c r="B58" i="6"/>
  <c r="C58" i="6" s="1"/>
  <c r="B59" i="6"/>
  <c r="C59" i="6" s="1"/>
  <c r="B60" i="6"/>
  <c r="C60" i="6" s="1"/>
  <c r="B61" i="6"/>
  <c r="C61" i="6" s="1"/>
  <c r="B62" i="6"/>
  <c r="C62" i="6"/>
  <c r="B63" i="6"/>
  <c r="C63" i="6" s="1"/>
  <c r="B64" i="6"/>
  <c r="C64" i="6" s="1"/>
  <c r="B65" i="6"/>
  <c r="C65" i="6" s="1"/>
  <c r="B66" i="6"/>
  <c r="C66" i="6" s="1"/>
  <c r="B67" i="6"/>
  <c r="C67" i="6"/>
  <c r="B68" i="6"/>
  <c r="C68" i="6" s="1"/>
  <c r="B69" i="6"/>
  <c r="C69" i="6" s="1"/>
  <c r="B70" i="6"/>
  <c r="C70" i="6" s="1"/>
  <c r="B71" i="6"/>
  <c r="C71" i="6" s="1"/>
  <c r="B72" i="6"/>
  <c r="C72" i="6" s="1"/>
  <c r="B73" i="6"/>
  <c r="C73" i="6" s="1"/>
  <c r="B74" i="6"/>
  <c r="C74" i="6" s="1"/>
  <c r="B75" i="6"/>
  <c r="C75" i="6" s="1"/>
  <c r="B76" i="6"/>
  <c r="C76" i="6" s="1"/>
  <c r="B77" i="6"/>
  <c r="C77" i="6" s="1"/>
  <c r="B78" i="6"/>
  <c r="C78" i="6" s="1"/>
  <c r="B79" i="6"/>
  <c r="C79" i="6" s="1"/>
  <c r="B80" i="6"/>
  <c r="C80" i="6" s="1"/>
  <c r="B81" i="6"/>
  <c r="C81" i="6" s="1"/>
  <c r="B82" i="6"/>
  <c r="C82" i="6" s="1"/>
  <c r="B83" i="6"/>
  <c r="C83" i="6" s="1"/>
  <c r="B84" i="6"/>
  <c r="C84" i="6" s="1"/>
  <c r="B85" i="6"/>
  <c r="C85" i="6" s="1"/>
  <c r="B86" i="6"/>
  <c r="C86" i="6" s="1"/>
  <c r="B87" i="6"/>
  <c r="C87" i="6" s="1"/>
  <c r="B88" i="6"/>
  <c r="C88" i="6" s="1"/>
  <c r="B89" i="6"/>
  <c r="C89" i="6" s="1"/>
  <c r="B90" i="6"/>
  <c r="C90" i="6" s="1"/>
  <c r="B91" i="6"/>
  <c r="C91" i="6" s="1"/>
  <c r="B92" i="6"/>
  <c r="C92" i="6" s="1"/>
  <c r="B93" i="6"/>
  <c r="C93" i="6" s="1"/>
  <c r="B94" i="6"/>
  <c r="C94" i="6" s="1"/>
  <c r="B95" i="6"/>
  <c r="C95" i="6" s="1"/>
  <c r="B96" i="6"/>
  <c r="C96" i="6" s="1"/>
  <c r="B97" i="6"/>
  <c r="C97" i="6" s="1"/>
  <c r="B98" i="6"/>
  <c r="C98" i="6" s="1"/>
  <c r="B99" i="6"/>
  <c r="C99" i="6" s="1"/>
  <c r="B100" i="6"/>
  <c r="C100" i="6" s="1"/>
  <c r="B101" i="6"/>
  <c r="C101" i="6" s="1"/>
  <c r="B102" i="6"/>
  <c r="C102" i="6" s="1"/>
  <c r="B103" i="6"/>
  <c r="C103" i="6" s="1"/>
  <c r="B104" i="6"/>
  <c r="C104" i="6" s="1"/>
  <c r="B105" i="6"/>
  <c r="C105" i="6" s="1"/>
  <c r="B106" i="6"/>
  <c r="C106" i="6" s="1"/>
  <c r="B107" i="6"/>
  <c r="C107" i="6" s="1"/>
  <c r="B108" i="6"/>
  <c r="C108" i="6" s="1"/>
  <c r="B109" i="6"/>
  <c r="C109" i="6" s="1"/>
  <c r="B110" i="6"/>
  <c r="C110" i="6" s="1"/>
  <c r="B111" i="6"/>
  <c r="C111" i="6" s="1"/>
  <c r="B112" i="6"/>
  <c r="C112" i="6" s="1"/>
  <c r="B113" i="6"/>
  <c r="C113" i="6" s="1"/>
  <c r="B114" i="6"/>
  <c r="C114" i="6" s="1"/>
  <c r="B115" i="6"/>
  <c r="C115" i="6" s="1"/>
  <c r="B116" i="6"/>
  <c r="C116" i="6" s="1"/>
  <c r="B117" i="6"/>
  <c r="C117" i="6" s="1"/>
  <c r="B118" i="6"/>
  <c r="C118" i="6" s="1"/>
  <c r="B119" i="6"/>
  <c r="C119" i="6" s="1"/>
  <c r="B120" i="6"/>
  <c r="C120" i="6" s="1"/>
  <c r="B121" i="6"/>
  <c r="C121" i="6" s="1"/>
  <c r="B122" i="6"/>
  <c r="C122" i="6" s="1"/>
  <c r="B123" i="6"/>
  <c r="C123" i="6" s="1"/>
  <c r="B124" i="6"/>
  <c r="C124" i="6" s="1"/>
  <c r="B125" i="6"/>
  <c r="C125" i="6" s="1"/>
  <c r="B126" i="6"/>
  <c r="C126" i="6" s="1"/>
  <c r="B127" i="6"/>
  <c r="C127" i="6" s="1"/>
  <c r="B128" i="6"/>
  <c r="C128" i="6" s="1"/>
  <c r="B129" i="6"/>
  <c r="C129" i="6" s="1"/>
  <c r="B130" i="6"/>
  <c r="C130" i="6" s="1"/>
  <c r="B131" i="6"/>
  <c r="C131" i="6" s="1"/>
  <c r="B132" i="6"/>
  <c r="C132" i="6" s="1"/>
  <c r="B133" i="6"/>
  <c r="C133" i="6" s="1"/>
  <c r="B134" i="6"/>
  <c r="C134" i="6" s="1"/>
  <c r="B135" i="6"/>
  <c r="C135" i="6" s="1"/>
  <c r="B136" i="6"/>
  <c r="C136" i="6" s="1"/>
  <c r="B137" i="6"/>
  <c r="C137" i="6" s="1"/>
  <c r="B138" i="6"/>
  <c r="C138" i="6" s="1"/>
  <c r="B139" i="6"/>
  <c r="C139" i="6" s="1"/>
  <c r="B140" i="6"/>
  <c r="C140" i="6" s="1"/>
  <c r="B141" i="6"/>
  <c r="C141" i="6" s="1"/>
  <c r="B142" i="6"/>
  <c r="C142" i="6" s="1"/>
  <c r="B143" i="6"/>
  <c r="C143" i="6" s="1"/>
  <c r="B144" i="6"/>
  <c r="C144" i="6" s="1"/>
  <c r="B145" i="6"/>
  <c r="C145" i="6" s="1"/>
  <c r="I1" i="7"/>
  <c r="B5" i="7"/>
  <c r="C5" i="7"/>
  <c r="A6" i="7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B5" i="3"/>
  <c r="Y5" i="3" s="1"/>
  <c r="D5" i="3"/>
  <c r="F5" i="3"/>
  <c r="H5" i="3"/>
  <c r="X5" i="3"/>
  <c r="A6" i="3"/>
  <c r="H6" i="3" s="1"/>
  <c r="C5" i="3"/>
  <c r="D1" i="9"/>
  <c r="A2" i="8"/>
  <c r="A18" i="8"/>
  <c r="A34" i="8"/>
  <c r="A50" i="8"/>
  <c r="A66" i="8"/>
  <c r="A82" i="8"/>
  <c r="A98" i="8"/>
  <c r="A114" i="8"/>
  <c r="A130" i="8"/>
  <c r="A146" i="8"/>
  <c r="A162" i="8"/>
  <c r="A178" i="8"/>
  <c r="A194" i="8"/>
  <c r="A210" i="8"/>
  <c r="A226" i="8"/>
  <c r="A242" i="8"/>
  <c r="A9" i="8"/>
  <c r="A25" i="8"/>
  <c r="A41" i="8"/>
  <c r="A57" i="8"/>
  <c r="A73" i="8"/>
  <c r="A4" i="8"/>
  <c r="A20" i="8"/>
  <c r="A36" i="8"/>
  <c r="A52" i="8"/>
  <c r="A68" i="8"/>
  <c r="A84" i="8"/>
  <c r="A100" i="8"/>
  <c r="A116" i="8"/>
  <c r="A132" i="8"/>
  <c r="A148" i="8"/>
  <c r="A164" i="8"/>
  <c r="A180" i="8"/>
  <c r="A196" i="8"/>
  <c r="A212" i="8"/>
  <c r="A236" i="8"/>
  <c r="A19" i="8"/>
  <c r="A51" i="8"/>
  <c r="A83" i="8"/>
  <c r="A101" i="8"/>
  <c r="A117" i="8"/>
  <c r="A133" i="8"/>
  <c r="A149" i="8"/>
  <c r="A165" i="8"/>
  <c r="A181" i="8"/>
  <c r="A197" i="8"/>
  <c r="A213" i="8"/>
  <c r="A229" i="8"/>
  <c r="A245" i="8"/>
  <c r="E324" i="7"/>
  <c r="E346" i="7"/>
  <c r="E136" i="7"/>
  <c r="E441" i="7"/>
  <c r="E428" i="7"/>
  <c r="E11" i="7"/>
  <c r="E33" i="7"/>
  <c r="E46" i="7"/>
  <c r="E102" i="7"/>
  <c r="E70" i="7"/>
  <c r="E98" i="7"/>
  <c r="E388" i="7"/>
  <c r="E410" i="7"/>
  <c r="E264" i="7"/>
  <c r="E181" i="7"/>
  <c r="E493" i="7"/>
  <c r="E186" i="7"/>
  <c r="E277" i="7"/>
  <c r="A240" i="8"/>
  <c r="A23" i="8"/>
  <c r="A55" i="8"/>
  <c r="A87" i="8"/>
  <c r="A103" i="8"/>
  <c r="A119" i="8"/>
  <c r="A135" i="8"/>
  <c r="A151" i="8"/>
  <c r="A167" i="8"/>
  <c r="A183" i="8"/>
  <c r="A199" i="8"/>
  <c r="A215" i="8"/>
  <c r="A231" i="8"/>
  <c r="A247" i="8"/>
  <c r="E452" i="7"/>
  <c r="E474" i="7"/>
  <c r="E231" i="7"/>
  <c r="E37" i="7"/>
  <c r="E367" i="7"/>
  <c r="E100" i="7"/>
  <c r="E122" i="7"/>
  <c r="E87" i="7"/>
  <c r="E163" i="7"/>
  <c r="E204" i="7"/>
  <c r="E226" i="7"/>
  <c r="E249" i="7"/>
  <c r="E331" i="7"/>
  <c r="E328" i="7"/>
  <c r="E318" i="7"/>
  <c r="E50" i="7"/>
  <c r="E101" i="7"/>
  <c r="E158" i="7"/>
  <c r="E354" i="7"/>
  <c r="E152" i="7"/>
  <c r="E273" i="7"/>
  <c r="E216" i="7"/>
  <c r="E357" i="7"/>
  <c r="E401" i="7"/>
  <c r="E333" i="7"/>
  <c r="E345" i="7"/>
  <c r="E353" i="7"/>
  <c r="E251" i="7"/>
  <c r="E421" i="7"/>
  <c r="E461" i="7"/>
  <c r="E14" i="7"/>
  <c r="E18" i="7"/>
  <c r="E64" i="7"/>
  <c r="E435" i="7"/>
  <c r="E296" i="7"/>
  <c r="E32" i="7"/>
  <c r="E34" i="7"/>
  <c r="E230" i="7"/>
  <c r="E162" i="7"/>
  <c r="E439" i="7"/>
  <c r="E468" i="7"/>
  <c r="E241" i="7"/>
  <c r="E121" i="7"/>
  <c r="E297" i="7"/>
  <c r="E285" i="7"/>
  <c r="E211" i="7"/>
  <c r="E114" i="7"/>
  <c r="E473" i="7"/>
  <c r="E42" i="7"/>
  <c r="E168" i="7"/>
  <c r="E444" i="7"/>
  <c r="E366" i="7"/>
  <c r="E339" i="7"/>
  <c r="E380" i="7"/>
  <c r="E374" i="7"/>
  <c r="E94" i="7"/>
  <c r="E310" i="7"/>
  <c r="E80" i="7"/>
  <c r="E360" i="7"/>
  <c r="E117" i="7"/>
  <c r="E477" i="7"/>
  <c r="E23" i="7"/>
  <c r="E268" i="7"/>
  <c r="E449" i="7"/>
  <c r="E212" i="7"/>
  <c r="E502" i="7"/>
  <c r="E27" i="7"/>
  <c r="E49" i="7"/>
  <c r="E96" i="7"/>
  <c r="E134" i="7"/>
  <c r="E92" i="7"/>
  <c r="E497" i="7"/>
  <c r="E417" i="7"/>
  <c r="E170" i="7"/>
  <c r="E149" i="7"/>
  <c r="E391" i="7"/>
  <c r="E370" i="7"/>
  <c r="E82" i="7"/>
  <c r="E495" i="7"/>
  <c r="E487" i="7"/>
  <c r="E469" i="7"/>
  <c r="E68" i="7"/>
  <c r="E355" i="7"/>
  <c r="E283" i="7"/>
  <c r="E63" i="7"/>
  <c r="E447" i="7"/>
  <c r="E88" i="7"/>
  <c r="E501" i="7"/>
  <c r="E193" i="7"/>
  <c r="E359" i="7"/>
  <c r="E179" i="7"/>
  <c r="E434" i="7"/>
  <c r="E146" i="7"/>
  <c r="E463" i="7"/>
  <c r="E488" i="7"/>
  <c r="E306" i="7"/>
  <c r="E499" i="7"/>
  <c r="E17" i="7"/>
  <c r="E242" i="7"/>
  <c r="E382" i="7"/>
  <c r="E190" i="7"/>
  <c r="E222" i="7"/>
  <c r="E257" i="7"/>
  <c r="E390" i="7"/>
  <c r="E274" i="7"/>
  <c r="E153" i="7"/>
  <c r="E31" i="7"/>
  <c r="A6" i="8"/>
  <c r="A22" i="8"/>
  <c r="A38" i="8"/>
  <c r="A54" i="8"/>
  <c r="A70" i="8"/>
  <c r="A86" i="8"/>
  <c r="A102" i="8"/>
  <c r="A118" i="8"/>
  <c r="A134" i="8"/>
  <c r="A150" i="8"/>
  <c r="A166" i="8"/>
  <c r="A182" i="8"/>
  <c r="A198" i="8"/>
  <c r="A214" i="8"/>
  <c r="A230" i="8"/>
  <c r="A246" i="8"/>
  <c r="A13" i="8"/>
  <c r="A29" i="8"/>
  <c r="A45" i="8"/>
  <c r="A61" i="8"/>
  <c r="A77" i="8"/>
  <c r="A8" i="8"/>
  <c r="A24" i="8"/>
  <c r="A40" i="8"/>
  <c r="A56" i="8"/>
  <c r="A72" i="8"/>
  <c r="A88" i="8"/>
  <c r="A104" i="8"/>
  <c r="A120" i="8"/>
  <c r="A136" i="8"/>
  <c r="A152" i="8"/>
  <c r="A168" i="8"/>
  <c r="A184" i="8"/>
  <c r="A200" i="8"/>
  <c r="A216" i="8"/>
  <c r="A244" i="8"/>
  <c r="A27" i="8"/>
  <c r="A59" i="8"/>
  <c r="A89" i="8"/>
  <c r="A105" i="8"/>
  <c r="A121" i="8"/>
  <c r="A137" i="8"/>
  <c r="A153" i="8"/>
  <c r="A169" i="8"/>
  <c r="A185" i="8"/>
  <c r="A201" i="8"/>
  <c r="A217" i="8"/>
  <c r="A233" i="8"/>
  <c r="A249" i="8"/>
  <c r="E415" i="7"/>
  <c r="E459" i="7"/>
  <c r="E456" i="7"/>
  <c r="E21" i="7"/>
  <c r="E341" i="7"/>
  <c r="E228" i="7"/>
  <c r="E250" i="7"/>
  <c r="E384" i="7"/>
  <c r="E422" i="7"/>
  <c r="E111" i="7"/>
  <c r="E155" i="7"/>
  <c r="E145" i="7"/>
  <c r="E305" i="7"/>
  <c r="E423" i="7"/>
  <c r="E302" i="7"/>
  <c r="E91" i="7"/>
  <c r="E169" i="7"/>
  <c r="E254" i="7"/>
  <c r="A248" i="8"/>
  <c r="A31" i="8"/>
  <c r="A63" i="8"/>
  <c r="A91" i="8"/>
  <c r="A107" i="8"/>
  <c r="A123" i="8"/>
  <c r="A139" i="8"/>
  <c r="A155" i="8"/>
  <c r="A171" i="8"/>
  <c r="A187" i="8"/>
  <c r="A203" i="8"/>
  <c r="A219" i="8"/>
  <c r="A235" i="8"/>
  <c r="A1" i="8"/>
  <c r="E389" i="7"/>
  <c r="E433" i="7"/>
  <c r="E397" i="7"/>
  <c r="E19" i="7"/>
  <c r="E41" i="7"/>
  <c r="E159" i="7"/>
  <c r="E203" i="7"/>
  <c r="E113" i="7"/>
  <c r="E329" i="7"/>
  <c r="E173" i="7"/>
  <c r="E261" i="7"/>
  <c r="E504" i="7"/>
  <c r="E39" i="7"/>
  <c r="E77" i="7"/>
  <c r="E6" i="7"/>
  <c r="E386" i="7"/>
  <c r="E494" i="7"/>
  <c r="E51" i="7"/>
  <c r="E475" i="7"/>
  <c r="E84" i="7"/>
  <c r="E129" i="7"/>
  <c r="E116" i="7"/>
  <c r="E138" i="7"/>
  <c r="E151" i="7"/>
  <c r="E227" i="7"/>
  <c r="E220" i="7"/>
  <c r="E440" i="7"/>
  <c r="E349" i="7"/>
  <c r="E299" i="7"/>
  <c r="E69" i="7"/>
  <c r="E451" i="7"/>
  <c r="E176" i="7"/>
  <c r="E402" i="7"/>
  <c r="E106" i="7"/>
  <c r="E99" i="7"/>
  <c r="E194" i="7"/>
  <c r="E378" i="7"/>
  <c r="E206" i="7"/>
  <c r="E418" i="7"/>
  <c r="E280" i="7"/>
  <c r="E450" i="7"/>
  <c r="E135" i="7"/>
  <c r="E485" i="7"/>
  <c r="E7" i="7"/>
  <c r="E45" i="7"/>
  <c r="E67" i="7"/>
  <c r="E28" i="7"/>
  <c r="E466" i="7"/>
  <c r="E81" i="7"/>
  <c r="E198" i="7"/>
  <c r="E30" i="7"/>
  <c r="E376" i="7"/>
  <c r="E293" i="7"/>
  <c r="E368" i="7"/>
  <c r="E178" i="7"/>
  <c r="E185" i="7"/>
  <c r="E83" i="7"/>
  <c r="E408" i="7"/>
  <c r="E446" i="7"/>
  <c r="E432" i="7"/>
  <c r="E214" i="7"/>
  <c r="E327" i="7"/>
  <c r="E431" i="7"/>
  <c r="E247" i="7"/>
  <c r="E205" i="7"/>
  <c r="E189" i="7"/>
  <c r="E244" i="7"/>
  <c r="E266" i="7"/>
  <c r="E416" i="7"/>
  <c r="E454" i="7"/>
  <c r="E143" i="7"/>
  <c r="E150" i="7"/>
  <c r="E472" i="7"/>
  <c r="E490" i="7"/>
  <c r="E126" i="7"/>
  <c r="E24" i="7"/>
  <c r="E184" i="7"/>
  <c r="E240" i="7"/>
  <c r="E171" i="7"/>
  <c r="E161" i="7"/>
  <c r="E133" i="7"/>
  <c r="E48" i="7"/>
  <c r="E238" i="7"/>
  <c r="E347" i="7"/>
  <c r="E59" i="7"/>
  <c r="E411" i="7"/>
  <c r="E22" i="7"/>
  <c r="E66" i="7"/>
  <c r="E224" i="7"/>
  <c r="E262" i="7"/>
  <c r="E156" i="7"/>
  <c r="E60" i="7"/>
  <c r="E183" i="7"/>
  <c r="E298" i="7"/>
  <c r="E265" i="7"/>
  <c r="E278" i="7"/>
  <c r="E406" i="7"/>
  <c r="E71" i="7"/>
  <c r="E61" i="7"/>
  <c r="E105" i="7"/>
  <c r="E210" i="7"/>
  <c r="E503" i="7"/>
  <c r="E438" i="7"/>
  <c r="E76" i="7"/>
  <c r="E26" i="7"/>
  <c r="E323" i="7"/>
  <c r="E246" i="7"/>
  <c r="A10" i="8"/>
  <c r="A26" i="8"/>
  <c r="A42" i="8"/>
  <c r="A58" i="8"/>
  <c r="A74" i="8"/>
  <c r="A90" i="8"/>
  <c r="A106" i="8"/>
  <c r="A122" i="8"/>
  <c r="A138" i="8"/>
  <c r="A154" i="8"/>
  <c r="A170" i="8"/>
  <c r="A186" i="8"/>
  <c r="A202" i="8"/>
  <c r="A218" i="8"/>
  <c r="A234" i="8"/>
  <c r="A250" i="8"/>
  <c r="A17" i="8"/>
  <c r="A33" i="8"/>
  <c r="A49" i="8"/>
  <c r="A65" i="8"/>
  <c r="A81" i="8"/>
  <c r="A12" i="8"/>
  <c r="A28" i="8"/>
  <c r="A44" i="8"/>
  <c r="A60" i="8"/>
  <c r="A76" i="8"/>
  <c r="A92" i="8"/>
  <c r="A108" i="8"/>
  <c r="A124" i="8"/>
  <c r="A140" i="8"/>
  <c r="A156" i="8"/>
  <c r="A172" i="8"/>
  <c r="A188" i="8"/>
  <c r="A204" i="8"/>
  <c r="A220" i="8"/>
  <c r="A3" i="8"/>
  <c r="A35" i="8"/>
  <c r="A67" i="8"/>
  <c r="A93" i="8"/>
  <c r="A109" i="8"/>
  <c r="A125" i="8"/>
  <c r="A141" i="8"/>
  <c r="A157" i="8"/>
  <c r="A173" i="8"/>
  <c r="A189" i="8"/>
  <c r="A205" i="8"/>
  <c r="A221" i="8"/>
  <c r="A237" i="8"/>
  <c r="E43" i="7"/>
  <c r="E65" i="7"/>
  <c r="E128" i="7"/>
  <c r="E166" i="7"/>
  <c r="E108" i="7"/>
  <c r="E130" i="7"/>
  <c r="E269" i="7"/>
  <c r="E314" i="7"/>
  <c r="E62" i="7"/>
  <c r="E478" i="7"/>
  <c r="E396" i="7"/>
  <c r="E54" i="7"/>
  <c r="E90" i="7"/>
  <c r="E256" i="7"/>
  <c r="E294" i="7"/>
  <c r="E172" i="7"/>
  <c r="E164" i="7"/>
  <c r="E125" i="7"/>
  <c r="A224" i="8"/>
  <c r="A7" i="8"/>
  <c r="A39" i="8"/>
  <c r="A71" i="8"/>
  <c r="A95" i="8"/>
  <c r="A111" i="8"/>
  <c r="A127" i="8"/>
  <c r="A143" i="8"/>
  <c r="A159" i="8"/>
  <c r="A175" i="8"/>
  <c r="A191" i="8"/>
  <c r="A207" i="8"/>
  <c r="A223" i="8"/>
  <c r="A239" i="8"/>
  <c r="E132" i="7"/>
  <c r="E154" i="7"/>
  <c r="E215" i="7"/>
  <c r="E291" i="7"/>
  <c r="E236" i="7"/>
  <c r="E258" i="7"/>
  <c r="E420" i="7"/>
  <c r="E442" i="7"/>
  <c r="E103" i="7"/>
  <c r="E307" i="7"/>
  <c r="E303" i="7"/>
  <c r="E196" i="7"/>
  <c r="E218" i="7"/>
  <c r="E320" i="7"/>
  <c r="E358" i="7"/>
  <c r="E12" i="7"/>
  <c r="E287" i="7"/>
  <c r="E500" i="7"/>
  <c r="E332" i="7"/>
  <c r="E144" i="7"/>
  <c r="E127" i="7"/>
  <c r="E208" i="7"/>
  <c r="E191" i="7"/>
  <c r="E235" i="7"/>
  <c r="E317" i="7"/>
  <c r="E393" i="7"/>
  <c r="E237" i="7"/>
  <c r="E470" i="7"/>
  <c r="E182" i="7"/>
  <c r="E465" i="7"/>
  <c r="E35" i="7"/>
  <c r="E338" i="7"/>
  <c r="E16" i="7"/>
  <c r="E248" i="7"/>
  <c r="E426" i="7"/>
  <c r="E398" i="7"/>
  <c r="E75" i="7"/>
  <c r="E192" i="7"/>
  <c r="E140" i="7"/>
  <c r="E321" i="7"/>
  <c r="E148" i="7"/>
  <c r="E385" i="7"/>
  <c r="E180" i="7"/>
  <c r="E202" i="7"/>
  <c r="E253" i="7"/>
  <c r="E326" i="7"/>
  <c r="E284" i="7"/>
  <c r="E365" i="7"/>
  <c r="E199" i="7"/>
  <c r="E362" i="7"/>
  <c r="E74" i="7"/>
  <c r="E243" i="7"/>
  <c r="E201" i="7"/>
  <c r="E79" i="7"/>
  <c r="E147" i="7"/>
  <c r="E40" i="7"/>
  <c r="E315" i="7"/>
  <c r="E36" i="7"/>
  <c r="E97" i="7"/>
  <c r="E335" i="7"/>
  <c r="E245" i="7"/>
  <c r="E142" i="7"/>
  <c r="E387" i="7"/>
  <c r="E290" i="7"/>
  <c r="E413" i="7"/>
  <c r="E319" i="7"/>
  <c r="E5" i="7"/>
  <c r="F5" i="7" s="1"/>
  <c r="E308" i="7"/>
  <c r="E330" i="7"/>
  <c r="E104" i="7"/>
  <c r="E467" i="7"/>
  <c r="E412" i="7"/>
  <c r="E313" i="7"/>
  <c r="E137" i="7"/>
  <c r="E279" i="7"/>
  <c r="E252" i="7"/>
  <c r="E120" i="7"/>
  <c r="E131" i="7"/>
  <c r="E301" i="7"/>
  <c r="E337" i="7"/>
  <c r="E430" i="7"/>
  <c r="E292" i="7"/>
  <c r="E217" i="7"/>
  <c r="E239" i="7"/>
  <c r="E55" i="7"/>
  <c r="E276" i="7"/>
  <c r="E78" i="7"/>
  <c r="E44" i="7"/>
  <c r="E107" i="7"/>
  <c r="E343" i="7"/>
  <c r="E419" i="7"/>
  <c r="E271" i="7"/>
  <c r="E259" i="7"/>
  <c r="E429" i="7"/>
  <c r="E491" i="7"/>
  <c r="E110" i="7"/>
  <c r="E57" i="7"/>
  <c r="E123" i="7"/>
  <c r="E58" i="7"/>
  <c r="E399" i="7"/>
  <c r="E93" i="7"/>
  <c r="E304" i="7"/>
  <c r="E89" i="7"/>
  <c r="E234" i="7"/>
  <c r="E379" i="7"/>
  <c r="E437" i="7"/>
  <c r="E174" i="7"/>
  <c r="E270" i="7"/>
  <c r="A46" i="8"/>
  <c r="A110" i="8"/>
  <c r="A174" i="8"/>
  <c r="A238" i="8"/>
  <c r="A53" i="8"/>
  <c r="A32" i="8"/>
  <c r="A96" i="8"/>
  <c r="A160" i="8"/>
  <c r="A228" i="8"/>
  <c r="A97" i="8"/>
  <c r="A161" i="8"/>
  <c r="A225" i="8"/>
  <c r="E448" i="7"/>
  <c r="E351" i="7"/>
  <c r="E209" i="7"/>
  <c r="E483" i="7"/>
  <c r="A232" i="8"/>
  <c r="A99" i="8"/>
  <c r="A163" i="8"/>
  <c r="A227" i="8"/>
  <c r="E381" i="7"/>
  <c r="E325" i="7"/>
  <c r="E9" i="7"/>
  <c r="E275" i="7"/>
  <c r="E73" i="7"/>
  <c r="E436" i="7"/>
  <c r="E309" i="7"/>
  <c r="E316" i="7"/>
  <c r="E288" i="7"/>
  <c r="E460" i="7"/>
  <c r="E72" i="7"/>
  <c r="E348" i="7"/>
  <c r="E124" i="7"/>
  <c r="E443" i="7"/>
  <c r="E363" i="7"/>
  <c r="E20" i="7"/>
  <c r="E377" i="7"/>
  <c r="E295" i="7"/>
  <c r="E361" i="7"/>
  <c r="E281" i="7"/>
  <c r="E400" i="7"/>
  <c r="E115" i="7"/>
  <c r="E480" i="7"/>
  <c r="E38" i="7"/>
  <c r="E414" i="7"/>
  <c r="E197" i="7"/>
  <c r="A62" i="8"/>
  <c r="A126" i="8"/>
  <c r="A190" i="8"/>
  <c r="A5" i="8"/>
  <c r="A69" i="8"/>
  <c r="A48" i="8"/>
  <c r="A112" i="8"/>
  <c r="A176" i="8"/>
  <c r="A11" i="8"/>
  <c r="A113" i="8"/>
  <c r="A177" i="8"/>
  <c r="A241" i="8"/>
  <c r="E486" i="7"/>
  <c r="E395" i="7"/>
  <c r="E95" i="7"/>
  <c r="E8" i="7"/>
  <c r="A15" i="8"/>
  <c r="A115" i="8"/>
  <c r="A179" i="8"/>
  <c r="A243" i="8"/>
  <c r="E457" i="7"/>
  <c r="E369" i="7"/>
  <c r="E141" i="7"/>
  <c r="E364" i="7"/>
  <c r="E464" i="7"/>
  <c r="E458" i="7"/>
  <c r="E498" i="7"/>
  <c r="E52" i="7"/>
  <c r="E188" i="7"/>
  <c r="E272" i="7"/>
  <c r="E165" i="7"/>
  <c r="E425" i="7"/>
  <c r="E112" i="7"/>
  <c r="E492" i="7"/>
  <c r="E312" i="7"/>
  <c r="E482" i="7"/>
  <c r="E383" i="7"/>
  <c r="E187" i="7"/>
  <c r="E25" i="7"/>
  <c r="E471" i="7"/>
  <c r="E405" i="7"/>
  <c r="E372" i="7"/>
  <c r="E476" i="7"/>
  <c r="E207" i="7"/>
  <c r="E344" i="7"/>
  <c r="E352" i="7"/>
  <c r="A14" i="8"/>
  <c r="A78" i="8"/>
  <c r="A142" i="8"/>
  <c r="A206" i="8"/>
  <c r="A21" i="8"/>
  <c r="A85" i="8"/>
  <c r="A64" i="8"/>
  <c r="A128" i="8"/>
  <c r="A192" i="8"/>
  <c r="A43" i="8"/>
  <c r="A129" i="8"/>
  <c r="A193" i="8"/>
  <c r="E260" i="7"/>
  <c r="E175" i="7"/>
  <c r="E392" i="7"/>
  <c r="E139" i="7"/>
  <c r="E484" i="7"/>
  <c r="A47" i="8"/>
  <c r="A131" i="8"/>
  <c r="A195" i="8"/>
  <c r="E223" i="7"/>
  <c r="E300" i="7"/>
  <c r="E177" i="7"/>
  <c r="E229" i="7"/>
  <c r="E453" i="7"/>
  <c r="E404" i="7"/>
  <c r="E167" i="7"/>
  <c r="E53" i="7"/>
  <c r="E289" i="7"/>
  <c r="E356" i="7"/>
  <c r="E255" i="7"/>
  <c r="E15" i="7"/>
  <c r="E85" i="7"/>
  <c r="E375" i="7"/>
  <c r="E221" i="7"/>
  <c r="E56" i="7"/>
  <c r="E263" i="7"/>
  <c r="E427" i="7"/>
  <c r="E373" i="7"/>
  <c r="E334" i="7"/>
  <c r="E109" i="7"/>
  <c r="E336" i="7"/>
  <c r="E394" i="7"/>
  <c r="E409" i="7"/>
  <c r="E455" i="7"/>
  <c r="E213" i="7"/>
  <c r="E342" i="7"/>
  <c r="A222" i="8"/>
  <c r="A144" i="8"/>
  <c r="A209" i="8"/>
  <c r="E407" i="7"/>
  <c r="A211" i="8"/>
  <c r="E47" i="7"/>
  <c r="E445" i="7"/>
  <c r="E286" i="7"/>
  <c r="E496" i="7"/>
  <c r="E462" i="7"/>
  <c r="E489" i="7"/>
  <c r="A30" i="8"/>
  <c r="A37" i="8"/>
  <c r="A208" i="8"/>
  <c r="E282" i="7"/>
  <c r="E157" i="7"/>
  <c r="E267" i="7"/>
  <c r="E13" i="7"/>
  <c r="E195" i="7"/>
  <c r="E160" i="7"/>
  <c r="E233" i="7"/>
  <c r="E479" i="7"/>
  <c r="E118" i="7"/>
  <c r="A94" i="8"/>
  <c r="A16" i="8"/>
  <c r="A75" i="8"/>
  <c r="E219" i="7"/>
  <c r="A79" i="8"/>
  <c r="E322" i="7"/>
  <c r="E311" i="7"/>
  <c r="E200" i="7"/>
  <c r="E350" i="7"/>
  <c r="E424" i="7"/>
  <c r="E340" i="7"/>
  <c r="E29" i="7"/>
  <c r="A158" i="8"/>
  <c r="A147" i="8"/>
  <c r="E86" i="7"/>
  <c r="E403" i="7"/>
  <c r="E481" i="7"/>
  <c r="A80" i="8"/>
  <c r="E371" i="7"/>
  <c r="E10" i="7"/>
  <c r="E119" i="7"/>
  <c r="A145" i="8"/>
  <c r="E225" i="7"/>
  <c r="E232" i="7"/>
  <c r="M91" i="1"/>
  <c r="D85" i="2"/>
  <c r="J85" i="2"/>
  <c r="C86" i="2"/>
  <c r="A7" i="3"/>
  <c r="D7" i="3"/>
  <c r="I6" i="3"/>
  <c r="F6" i="3"/>
  <c r="D5" i="7"/>
  <c r="B8" i="1"/>
  <c r="E5" i="3"/>
  <c r="F6" i="5"/>
  <c r="F7" i="5"/>
  <c r="F15" i="5"/>
  <c r="F16" i="5"/>
  <c r="F19" i="5" s="1"/>
  <c r="F17" i="5"/>
  <c r="L91" i="1"/>
  <c r="M96" i="1"/>
  <c r="L96" i="1"/>
  <c r="K88" i="1"/>
  <c r="M95" i="1"/>
  <c r="M88" i="1"/>
  <c r="K14" i="5"/>
  <c r="K15" i="5"/>
  <c r="L15" i="5" s="1"/>
  <c r="K16" i="5"/>
  <c r="C6" i="3"/>
  <c r="F9" i="5"/>
  <c r="G6" i="3"/>
  <c r="B6" i="3"/>
  <c r="A9" i="2"/>
  <c r="F8" i="5"/>
  <c r="F10" i="5" s="1"/>
  <c r="E6" i="3"/>
  <c r="K95" i="1"/>
  <c r="K87" i="1"/>
  <c r="L89" i="1"/>
  <c r="K89" i="1"/>
  <c r="D6" i="3"/>
  <c r="X6" i="3"/>
  <c r="I5" i="3"/>
  <c r="G5" i="3"/>
  <c r="K94" i="1"/>
  <c r="M94" i="1"/>
  <c r="L93" i="1"/>
  <c r="M87" i="1"/>
  <c r="L92" i="1"/>
  <c r="K93" i="1"/>
  <c r="M90" i="1"/>
  <c r="M92" i="1"/>
  <c r="D86" i="2"/>
  <c r="K97" i="1" l="1"/>
  <c r="L90" i="1"/>
  <c r="L97" i="1" s="1"/>
  <c r="N97" i="1" s="1"/>
  <c r="I5" i="7"/>
  <c r="B6" i="7"/>
  <c r="G5" i="7"/>
  <c r="H5" i="7" s="1"/>
  <c r="C6" i="7" s="1"/>
  <c r="E7" i="3"/>
  <c r="C7" i="3"/>
  <c r="I7" i="3"/>
  <c r="B7" i="3"/>
  <c r="H7" i="3"/>
  <c r="G7" i="3"/>
  <c r="A8" i="3"/>
  <c r="X7" i="3"/>
  <c r="F7" i="3"/>
  <c r="A8" i="1"/>
  <c r="B9" i="1"/>
  <c r="L16" i="5"/>
  <c r="L18" i="5" s="1"/>
  <c r="K17" i="5"/>
  <c r="L17" i="5" s="1"/>
  <c r="I86" i="2"/>
  <c r="J86" i="2" s="1"/>
  <c r="C87" i="2"/>
  <c r="B9" i="2"/>
  <c r="A10" i="2"/>
  <c r="Y7" i="3"/>
  <c r="Y6" i="3"/>
  <c r="M97" i="1"/>
  <c r="B10" i="2" l="1"/>
  <c r="A11" i="2"/>
  <c r="K18" i="5"/>
  <c r="B10" i="1"/>
  <c r="A9" i="1"/>
  <c r="C88" i="2"/>
  <c r="I87" i="2"/>
  <c r="J87" i="2" s="1"/>
  <c r="D87" i="2"/>
  <c r="E8" i="3"/>
  <c r="H8" i="3"/>
  <c r="F8" i="3"/>
  <c r="A9" i="3"/>
  <c r="I8" i="3"/>
  <c r="D8" i="3"/>
  <c r="X8" i="3"/>
  <c r="C8" i="3"/>
  <c r="G8" i="3"/>
  <c r="B8" i="3"/>
  <c r="D6" i="7"/>
  <c r="F6" i="7" s="1"/>
  <c r="D88" i="2" l="1"/>
  <c r="C89" i="2"/>
  <c r="I88" i="2"/>
  <c r="J88" i="2" s="1"/>
  <c r="E9" i="3"/>
  <c r="B9" i="3"/>
  <c r="D9" i="3"/>
  <c r="X9" i="3"/>
  <c r="F9" i="3"/>
  <c r="A10" i="3"/>
  <c r="C9" i="3"/>
  <c r="G9" i="3"/>
  <c r="H9" i="3"/>
  <c r="I9" i="3"/>
  <c r="A10" i="1"/>
  <c r="B11" i="1"/>
  <c r="B11" i="2"/>
  <c r="A12" i="2"/>
  <c r="G6" i="7"/>
  <c r="H6" i="7" s="1"/>
  <c r="C7" i="7" s="1"/>
  <c r="B7" i="7"/>
  <c r="I6" i="7"/>
  <c r="Y8" i="3"/>
  <c r="D7" i="7" l="1"/>
  <c r="F7" i="7" s="1"/>
  <c r="B8" i="7" s="1"/>
  <c r="B12" i="2"/>
  <c r="A13" i="2"/>
  <c r="X10" i="3"/>
  <c r="E10" i="3"/>
  <c r="F10" i="3"/>
  <c r="A11" i="3"/>
  <c r="I10" i="3"/>
  <c r="D10" i="3"/>
  <c r="B10" i="3"/>
  <c r="C10" i="3"/>
  <c r="G10" i="3"/>
  <c r="H10" i="3"/>
  <c r="B12" i="1"/>
  <c r="A11" i="1"/>
  <c r="Y9" i="3"/>
  <c r="D89" i="2"/>
  <c r="C90" i="2"/>
  <c r="I89" i="2"/>
  <c r="J89" i="2" s="1"/>
  <c r="I7" i="7" l="1"/>
  <c r="G7" i="7"/>
  <c r="H7" i="7" s="1"/>
  <c r="C8" i="7" s="1"/>
  <c r="D8" i="7" s="1"/>
  <c r="F8" i="7" s="1"/>
  <c r="Y10" i="3"/>
  <c r="D90" i="2"/>
  <c r="I90" i="2"/>
  <c r="J90" i="2" s="1"/>
  <c r="C91" i="2"/>
  <c r="G11" i="3"/>
  <c r="A12" i="3"/>
  <c r="F11" i="3"/>
  <c r="E11" i="3"/>
  <c r="B11" i="3"/>
  <c r="C11" i="3"/>
  <c r="D11" i="3"/>
  <c r="H11" i="3"/>
  <c r="X11" i="3"/>
  <c r="I11" i="3"/>
  <c r="B13" i="2"/>
  <c r="A14" i="2"/>
  <c r="B13" i="1"/>
  <c r="A12" i="1"/>
  <c r="E12" i="3" l="1"/>
  <c r="B12" i="3"/>
  <c r="H12" i="3"/>
  <c r="I12" i="3"/>
  <c r="X12" i="3"/>
  <c r="A13" i="3"/>
  <c r="C12" i="3"/>
  <c r="F12" i="3"/>
  <c r="G12" i="3"/>
  <c r="D12" i="3"/>
  <c r="C92" i="2"/>
  <c r="D91" i="2"/>
  <c r="I91" i="2"/>
  <c r="J91" i="2" s="1"/>
  <c r="G8" i="7"/>
  <c r="H8" i="7" s="1"/>
  <c r="C9" i="7" s="1"/>
  <c r="I8" i="7"/>
  <c r="B9" i="7"/>
  <c r="A13" i="1"/>
  <c r="B14" i="1"/>
  <c r="Y12" i="3"/>
  <c r="B14" i="2"/>
  <c r="A15" i="2"/>
  <c r="Y11" i="3"/>
  <c r="D9" i="7" l="1"/>
  <c r="F9" i="7" s="1"/>
  <c r="G9" i="7" s="1"/>
  <c r="H9" i="7" s="1"/>
  <c r="C10" i="7" s="1"/>
  <c r="D13" i="3"/>
  <c r="I13" i="3"/>
  <c r="F13" i="3"/>
  <c r="X13" i="3"/>
  <c r="H13" i="3"/>
  <c r="E13" i="3"/>
  <c r="A14" i="3"/>
  <c r="C13" i="3"/>
  <c r="B13" i="3"/>
  <c r="Y13" i="3" s="1"/>
  <c r="G13" i="3"/>
  <c r="B15" i="2"/>
  <c r="A16" i="2"/>
  <c r="D92" i="2"/>
  <c r="I92" i="2"/>
  <c r="J92" i="2" s="1"/>
  <c r="C93" i="2"/>
  <c r="A14" i="1"/>
  <c r="B15" i="1"/>
  <c r="I9" i="7" l="1"/>
  <c r="B10" i="7"/>
  <c r="D10" i="7"/>
  <c r="F10" i="7" s="1"/>
  <c r="B11" i="7" s="1"/>
  <c r="B16" i="2"/>
  <c r="A17" i="2"/>
  <c r="B16" i="1"/>
  <c r="A15" i="1"/>
  <c r="D93" i="2"/>
  <c r="I93" i="2"/>
  <c r="J93" i="2" s="1"/>
  <c r="C94" i="2"/>
  <c r="C14" i="3"/>
  <c r="A15" i="3"/>
  <c r="H14" i="3"/>
  <c r="E14" i="3"/>
  <c r="X14" i="3"/>
  <c r="B14" i="3"/>
  <c r="Y14" i="3" s="1"/>
  <c r="D14" i="3"/>
  <c r="G14" i="3"/>
  <c r="F14" i="3"/>
  <c r="I14" i="3"/>
  <c r="I10" i="7" l="1"/>
  <c r="G10" i="7"/>
  <c r="H10" i="7" s="1"/>
  <c r="C11" i="7" s="1"/>
  <c r="D11" i="7" s="1"/>
  <c r="F11" i="7" s="1"/>
  <c r="Y15" i="3"/>
  <c r="A16" i="1"/>
  <c r="B17" i="1"/>
  <c r="C15" i="3"/>
  <c r="H15" i="3"/>
  <c r="D15" i="3"/>
  <c r="G15" i="3"/>
  <c r="F15" i="3"/>
  <c r="E15" i="3"/>
  <c r="A16" i="3"/>
  <c r="X15" i="3"/>
  <c r="B15" i="3"/>
  <c r="I15" i="3"/>
  <c r="C95" i="2"/>
  <c r="D94" i="2"/>
  <c r="I94" i="2"/>
  <c r="J94" i="2" s="1"/>
  <c r="B17" i="2"/>
  <c r="A18" i="2"/>
  <c r="G11" i="7" l="1"/>
  <c r="H11" i="7" s="1"/>
  <c r="C12" i="7" s="1"/>
  <c r="I11" i="7"/>
  <c r="B12" i="7"/>
  <c r="B18" i="2"/>
  <c r="A19" i="2"/>
  <c r="E16" i="3"/>
  <c r="C16" i="3"/>
  <c r="F16" i="3"/>
  <c r="D16" i="3"/>
  <c r="A17" i="3"/>
  <c r="X16" i="3"/>
  <c r="I16" i="3"/>
  <c r="B16" i="3"/>
  <c r="H16" i="3"/>
  <c r="G16" i="3"/>
  <c r="C96" i="2"/>
  <c r="D95" i="2"/>
  <c r="I95" i="2"/>
  <c r="J95" i="2" s="1"/>
  <c r="A17" i="1"/>
  <c r="B18" i="1"/>
  <c r="Y16" i="3"/>
  <c r="D12" i="7" l="1"/>
  <c r="F12" i="7" s="1"/>
  <c r="I12" i="7" s="1"/>
  <c r="H17" i="3"/>
  <c r="E17" i="3"/>
  <c r="I17" i="3"/>
  <c r="D17" i="3"/>
  <c r="X17" i="3"/>
  <c r="G17" i="3"/>
  <c r="A18" i="3"/>
  <c r="C17" i="3"/>
  <c r="F17" i="3"/>
  <c r="B17" i="3"/>
  <c r="D96" i="2"/>
  <c r="C97" i="2"/>
  <c r="I96" i="2"/>
  <c r="J96" i="2" s="1"/>
  <c r="B19" i="2"/>
  <c r="A20" i="2"/>
  <c r="B19" i="1"/>
  <c r="A18" i="1"/>
  <c r="G12" i="7" l="1"/>
  <c r="H12" i="7" s="1"/>
  <c r="C13" i="7" s="1"/>
  <c r="B13" i="7"/>
  <c r="B20" i="2"/>
  <c r="A21" i="2"/>
  <c r="Y18" i="3"/>
  <c r="D18" i="3"/>
  <c r="X18" i="3"/>
  <c r="H18" i="3"/>
  <c r="C18" i="3"/>
  <c r="A19" i="3"/>
  <c r="E18" i="3"/>
  <c r="I18" i="3"/>
  <c r="B18" i="3"/>
  <c r="G18" i="3"/>
  <c r="F18" i="3"/>
  <c r="Y17" i="3"/>
  <c r="B20" i="1"/>
  <c r="A19" i="1"/>
  <c r="D97" i="2"/>
  <c r="C98" i="2"/>
  <c r="I97" i="2"/>
  <c r="J97" i="2" s="1"/>
  <c r="D13" i="7" l="1"/>
  <c r="F13" i="7" s="1"/>
  <c r="I13" i="7" s="1"/>
  <c r="D98" i="2"/>
  <c r="I98" i="2"/>
  <c r="J98" i="2" s="1"/>
  <c r="C99" i="2"/>
  <c r="B21" i="1"/>
  <c r="A20" i="1"/>
  <c r="B21" i="2"/>
  <c r="A22" i="2"/>
  <c r="G19" i="3"/>
  <c r="E19" i="3"/>
  <c r="I19" i="3"/>
  <c r="H19" i="3"/>
  <c r="D19" i="3"/>
  <c r="X19" i="3"/>
  <c r="C19" i="3"/>
  <c r="A20" i="3"/>
  <c r="F19" i="3"/>
  <c r="B19" i="3"/>
  <c r="Y19" i="3" s="1"/>
  <c r="B14" i="7" l="1"/>
  <c r="G13" i="7"/>
  <c r="H13" i="7" s="1"/>
  <c r="C14" i="7" s="1"/>
  <c r="D14" i="7" s="1"/>
  <c r="F14" i="7" s="1"/>
  <c r="B22" i="1"/>
  <c r="A21" i="1"/>
  <c r="D99" i="2"/>
  <c r="C100" i="2"/>
  <c r="I99" i="2"/>
  <c r="J99" i="2" s="1"/>
  <c r="I20" i="3"/>
  <c r="G20" i="3"/>
  <c r="D20" i="3"/>
  <c r="H20" i="3"/>
  <c r="F20" i="3"/>
  <c r="E20" i="3"/>
  <c r="X20" i="3"/>
  <c r="C20" i="3"/>
  <c r="B20" i="3"/>
  <c r="A21" i="3"/>
  <c r="B22" i="2"/>
  <c r="A23" i="2"/>
  <c r="Y20" i="3"/>
  <c r="B23" i="2" l="1"/>
  <c r="A24" i="2"/>
  <c r="A22" i="1"/>
  <c r="B23" i="1"/>
  <c r="H21" i="3"/>
  <c r="F21" i="3"/>
  <c r="G21" i="3"/>
  <c r="E21" i="3"/>
  <c r="X21" i="3"/>
  <c r="A22" i="3"/>
  <c r="I21" i="3"/>
  <c r="B21" i="3"/>
  <c r="D21" i="3"/>
  <c r="C21" i="3"/>
  <c r="Y21" i="3"/>
  <c r="C101" i="2"/>
  <c r="D100" i="2"/>
  <c r="I100" i="2"/>
  <c r="J100" i="2" s="1"/>
  <c r="G14" i="7"/>
  <c r="H14" i="7" s="1"/>
  <c r="C15" i="7" s="1"/>
  <c r="B15" i="7"/>
  <c r="I14" i="7"/>
  <c r="D101" i="2" l="1"/>
  <c r="I101" i="2"/>
  <c r="J101" i="2" s="1"/>
  <c r="C102" i="2"/>
  <c r="D15" i="7"/>
  <c r="F15" i="7" s="1"/>
  <c r="A23" i="1"/>
  <c r="B24" i="1"/>
  <c r="C22" i="3"/>
  <c r="D22" i="3"/>
  <c r="A23" i="3"/>
  <c r="I22" i="3"/>
  <c r="H22" i="3"/>
  <c r="B22" i="3"/>
  <c r="F22" i="3"/>
  <c r="G22" i="3"/>
  <c r="E22" i="3"/>
  <c r="X22" i="3"/>
  <c r="B24" i="2"/>
  <c r="A25" i="2"/>
  <c r="A24" i="1" l="1"/>
  <c r="B25" i="1"/>
  <c r="A25" i="1" s="1"/>
  <c r="Y22" i="3"/>
  <c r="I15" i="7"/>
  <c r="B16" i="7"/>
  <c r="G15" i="7"/>
  <c r="H15" i="7" s="1"/>
  <c r="C16" i="7" s="1"/>
  <c r="B25" i="2"/>
  <c r="A26" i="2"/>
  <c r="D102" i="2"/>
  <c r="C103" i="2"/>
  <c r="I102" i="2"/>
  <c r="J102" i="2" s="1"/>
  <c r="H23" i="3"/>
  <c r="I23" i="3"/>
  <c r="G23" i="3"/>
  <c r="A24" i="3"/>
  <c r="C23" i="3"/>
  <c r="D23" i="3"/>
  <c r="F23" i="3"/>
  <c r="B23" i="3"/>
  <c r="Y23" i="3" s="1"/>
  <c r="X23" i="3"/>
  <c r="E23" i="3"/>
  <c r="D16" i="7" l="1"/>
  <c r="F16" i="7" s="1"/>
  <c r="B26" i="2"/>
  <c r="A27" i="2"/>
  <c r="D103" i="2"/>
  <c r="I103" i="2"/>
  <c r="J103" i="2" s="1"/>
  <c r="C104" i="2"/>
  <c r="G24" i="3"/>
  <c r="X24" i="3"/>
  <c r="A25" i="3"/>
  <c r="D24" i="3"/>
  <c r="F24" i="3"/>
  <c r="I24" i="3"/>
  <c r="C24" i="3"/>
  <c r="B24" i="3"/>
  <c r="H24" i="3"/>
  <c r="E24" i="3"/>
  <c r="Y24" i="3"/>
  <c r="F25" i="3" l="1"/>
  <c r="D25" i="3"/>
  <c r="X25" i="3"/>
  <c r="C25" i="3"/>
  <c r="A26" i="3"/>
  <c r="E25" i="3"/>
  <c r="B25" i="3"/>
  <c r="G25" i="3"/>
  <c r="I25" i="3"/>
  <c r="H25" i="3"/>
  <c r="B17" i="7"/>
  <c r="G16" i="7"/>
  <c r="H16" i="7" s="1"/>
  <c r="C17" i="7" s="1"/>
  <c r="I16" i="7"/>
  <c r="D104" i="2"/>
  <c r="I104" i="2"/>
  <c r="J104" i="2" s="1"/>
  <c r="C105" i="2"/>
  <c r="B27" i="2"/>
  <c r="A28" i="2"/>
  <c r="Y26" i="3" l="1"/>
  <c r="Y25" i="3"/>
  <c r="C26" i="3"/>
  <c r="A27" i="3"/>
  <c r="D26" i="3"/>
  <c r="H26" i="3"/>
  <c r="B26" i="3"/>
  <c r="X26" i="3"/>
  <c r="G26" i="3"/>
  <c r="I26" i="3"/>
  <c r="E26" i="3"/>
  <c r="F26" i="3"/>
  <c r="B28" i="2"/>
  <c r="A29" i="2"/>
  <c r="D17" i="7"/>
  <c r="F17" i="7" s="1"/>
  <c r="C106" i="2"/>
  <c r="I105" i="2"/>
  <c r="J105" i="2" s="1"/>
  <c r="D105" i="2"/>
  <c r="C107" i="2" l="1"/>
  <c r="D106" i="2"/>
  <c r="I106" i="2"/>
  <c r="J106" i="2" s="1"/>
  <c r="G17" i="7"/>
  <c r="H17" i="7" s="1"/>
  <c r="C18" i="7" s="1"/>
  <c r="I17" i="7"/>
  <c r="B18" i="7"/>
  <c r="B27" i="3"/>
  <c r="G27" i="3"/>
  <c r="F27" i="3"/>
  <c r="H27" i="3"/>
  <c r="C27" i="3"/>
  <c r="A28" i="3"/>
  <c r="D27" i="3"/>
  <c r="I27" i="3"/>
  <c r="E27" i="3"/>
  <c r="X27" i="3"/>
  <c r="B29" i="2"/>
  <c r="A30" i="2"/>
  <c r="D18" i="7" l="1"/>
  <c r="F18" i="7" s="1"/>
  <c r="B19" i="7" s="1"/>
  <c r="I107" i="2"/>
  <c r="J107" i="2" s="1"/>
  <c r="D107" i="2"/>
  <c r="C108" i="2"/>
  <c r="Y27" i="3"/>
  <c r="I28" i="3"/>
  <c r="H28" i="3"/>
  <c r="F28" i="3"/>
  <c r="E28" i="3"/>
  <c r="C28" i="3"/>
  <c r="A29" i="3"/>
  <c r="D28" i="3"/>
  <c r="X28" i="3"/>
  <c r="G28" i="3"/>
  <c r="B28" i="3"/>
  <c r="B30" i="2"/>
  <c r="A31" i="2"/>
  <c r="I18" i="7" l="1"/>
  <c r="G18" i="7"/>
  <c r="H18" i="7" s="1"/>
  <c r="C19" i="7" s="1"/>
  <c r="Y29" i="3"/>
  <c r="C109" i="2"/>
  <c r="I108" i="2"/>
  <c r="J108" i="2" s="1"/>
  <c r="D108" i="2"/>
  <c r="C29" i="3"/>
  <c r="H29" i="3"/>
  <c r="A30" i="3"/>
  <c r="B29" i="3"/>
  <c r="E29" i="3"/>
  <c r="I29" i="3"/>
  <c r="X29" i="3"/>
  <c r="G29" i="3"/>
  <c r="D29" i="3"/>
  <c r="F29" i="3"/>
  <c r="D19" i="7"/>
  <c r="F19" i="7" s="1"/>
  <c r="B31" i="2"/>
  <c r="A32" i="2"/>
  <c r="Y28" i="3"/>
  <c r="C110" i="2" l="1"/>
  <c r="D109" i="2"/>
  <c r="I109" i="2"/>
  <c r="J109" i="2" s="1"/>
  <c r="B32" i="2"/>
  <c r="A33" i="2"/>
  <c r="I19" i="7"/>
  <c r="G19" i="7"/>
  <c r="H19" i="7" s="1"/>
  <c r="C20" i="7" s="1"/>
  <c r="B20" i="7"/>
  <c r="D30" i="3"/>
  <c r="H30" i="3"/>
  <c r="C30" i="3"/>
  <c r="A31" i="3"/>
  <c r="F30" i="3"/>
  <c r="B30" i="3"/>
  <c r="G30" i="3"/>
  <c r="X30" i="3"/>
  <c r="I30" i="3"/>
  <c r="E30" i="3"/>
  <c r="D20" i="7" l="1"/>
  <c r="F20" i="7" s="1"/>
  <c r="B21" i="7" s="1"/>
  <c r="C111" i="2"/>
  <c r="D110" i="2"/>
  <c r="I110" i="2"/>
  <c r="J110" i="2" s="1"/>
  <c r="Y30" i="3"/>
  <c r="F31" i="3"/>
  <c r="A32" i="3"/>
  <c r="H31" i="3"/>
  <c r="E31" i="3"/>
  <c r="X31" i="3"/>
  <c r="G31" i="3"/>
  <c r="B31" i="3"/>
  <c r="D31" i="3"/>
  <c r="I31" i="3"/>
  <c r="C31" i="3"/>
  <c r="B33" i="2"/>
  <c r="A34" i="2"/>
  <c r="G20" i="7" l="1"/>
  <c r="H20" i="7" s="1"/>
  <c r="C21" i="7" s="1"/>
  <c r="D21" i="7" s="1"/>
  <c r="F21" i="7" s="1"/>
  <c r="I20" i="7"/>
  <c r="Y32" i="3"/>
  <c r="H32" i="3"/>
  <c r="B32" i="3"/>
  <c r="G32" i="3"/>
  <c r="F32" i="3"/>
  <c r="D32" i="3"/>
  <c r="I32" i="3"/>
  <c r="A33" i="3"/>
  <c r="X32" i="3"/>
  <c r="E32" i="3"/>
  <c r="C32" i="3"/>
  <c r="D111" i="2"/>
  <c r="C112" i="2"/>
  <c r="I111" i="2"/>
  <c r="J111" i="2" s="1"/>
  <c r="B34" i="2"/>
  <c r="A35" i="2"/>
  <c r="Y31" i="3"/>
  <c r="B22" i="7" l="1"/>
  <c r="I21" i="7"/>
  <c r="G21" i="7"/>
  <c r="H21" i="7" s="1"/>
  <c r="C22" i="7" s="1"/>
  <c r="D33" i="3"/>
  <c r="X33" i="3"/>
  <c r="H33" i="3"/>
  <c r="A34" i="3"/>
  <c r="I33" i="3"/>
  <c r="C33" i="3"/>
  <c r="G33" i="3"/>
  <c r="E33" i="3"/>
  <c r="F33" i="3"/>
  <c r="B33" i="3"/>
  <c r="B35" i="2"/>
  <c r="A36" i="2"/>
  <c r="C113" i="2"/>
  <c r="I112" i="2"/>
  <c r="J112" i="2" s="1"/>
  <c r="D112" i="2"/>
  <c r="Y33" i="3"/>
  <c r="D22" i="7" l="1"/>
  <c r="F22" i="7" s="1"/>
  <c r="D113" i="2"/>
  <c r="C114" i="2"/>
  <c r="I113" i="2"/>
  <c r="J113" i="2" s="1"/>
  <c r="B36" i="2"/>
  <c r="A37" i="2"/>
  <c r="I34" i="3"/>
  <c r="H34" i="3"/>
  <c r="G34" i="3"/>
  <c r="F34" i="3"/>
  <c r="D34" i="3"/>
  <c r="E34" i="3"/>
  <c r="A35" i="3"/>
  <c r="C34" i="3"/>
  <c r="X34" i="3"/>
  <c r="B34" i="3"/>
  <c r="Y34" i="3"/>
  <c r="G22" i="7" l="1"/>
  <c r="H22" i="7" s="1"/>
  <c r="C23" i="7" s="1"/>
  <c r="B23" i="7"/>
  <c r="I22" i="7"/>
  <c r="B37" i="2"/>
  <c r="A38" i="2"/>
  <c r="D114" i="2"/>
  <c r="I114" i="2"/>
  <c r="J114" i="2" s="1"/>
  <c r="C115" i="2"/>
  <c r="B35" i="3"/>
  <c r="Y35" i="3" s="1"/>
  <c r="D35" i="3"/>
  <c r="G35" i="3"/>
  <c r="X35" i="3"/>
  <c r="A36" i="3"/>
  <c r="C35" i="3"/>
  <c r="E35" i="3"/>
  <c r="F35" i="3"/>
  <c r="H35" i="3"/>
  <c r="I35" i="3"/>
  <c r="D23" i="7" l="1"/>
  <c r="F23" i="7" s="1"/>
  <c r="G23" i="7" s="1"/>
  <c r="H23" i="7" s="1"/>
  <c r="C24" i="7" s="1"/>
  <c r="C116" i="2"/>
  <c r="D115" i="2"/>
  <c r="I115" i="2"/>
  <c r="J115" i="2" s="1"/>
  <c r="H36" i="3"/>
  <c r="E36" i="3"/>
  <c r="F36" i="3"/>
  <c r="B36" i="3"/>
  <c r="A37" i="3"/>
  <c r="C36" i="3"/>
  <c r="I36" i="3"/>
  <c r="D36" i="3"/>
  <c r="X36" i="3"/>
  <c r="G36" i="3"/>
  <c r="B38" i="2"/>
  <c r="A39" i="2"/>
  <c r="Y36" i="3"/>
  <c r="I23" i="7" l="1"/>
  <c r="B24" i="7"/>
  <c r="D116" i="2"/>
  <c r="C117" i="2"/>
  <c r="I116" i="2"/>
  <c r="J116" i="2" s="1"/>
  <c r="I37" i="3"/>
  <c r="G37" i="3"/>
  <c r="A38" i="3"/>
  <c r="B37" i="3"/>
  <c r="E37" i="3"/>
  <c r="C37" i="3"/>
  <c r="H37" i="3"/>
  <c r="X37" i="3"/>
  <c r="F37" i="3"/>
  <c r="D37" i="3"/>
  <c r="D24" i="7"/>
  <c r="F24" i="7" s="1"/>
  <c r="B39" i="2"/>
  <c r="A40" i="2"/>
  <c r="Y37" i="3"/>
  <c r="D117" i="2" l="1"/>
  <c r="C118" i="2"/>
  <c r="I117" i="2"/>
  <c r="J117" i="2" s="1"/>
  <c r="B40" i="2"/>
  <c r="A41" i="2"/>
  <c r="B25" i="7"/>
  <c r="I24" i="7"/>
  <c r="G24" i="7"/>
  <c r="H24" i="7" s="1"/>
  <c r="C25" i="7" s="1"/>
  <c r="X38" i="3"/>
  <c r="D38" i="3"/>
  <c r="E38" i="3"/>
  <c r="I38" i="3"/>
  <c r="H38" i="3"/>
  <c r="F38" i="3"/>
  <c r="B38" i="3"/>
  <c r="C38" i="3"/>
  <c r="A39" i="3"/>
  <c r="G38" i="3"/>
  <c r="C39" i="3" l="1"/>
  <c r="I39" i="3"/>
  <c r="D39" i="3"/>
  <c r="B39" i="3"/>
  <c r="X39" i="3"/>
  <c r="F39" i="3"/>
  <c r="G39" i="3"/>
  <c r="A40" i="3"/>
  <c r="H39" i="3"/>
  <c r="E39" i="3"/>
  <c r="C119" i="2"/>
  <c r="I118" i="2"/>
  <c r="J118" i="2" s="1"/>
  <c r="D118" i="2"/>
  <c r="Y39" i="3"/>
  <c r="D25" i="7"/>
  <c r="F25" i="7" s="1"/>
  <c r="B41" i="2"/>
  <c r="A42" i="2"/>
  <c r="Y38" i="3"/>
  <c r="A41" i="3" l="1"/>
  <c r="D40" i="3"/>
  <c r="B40" i="3"/>
  <c r="X40" i="3"/>
  <c r="C40" i="3"/>
  <c r="I40" i="3"/>
  <c r="G40" i="3"/>
  <c r="H40" i="3"/>
  <c r="E40" i="3"/>
  <c r="F40" i="3"/>
  <c r="B26" i="7"/>
  <c r="G25" i="7"/>
  <c r="H25" i="7" s="1"/>
  <c r="C26" i="7" s="1"/>
  <c r="I25" i="7"/>
  <c r="Y40" i="3"/>
  <c r="D119" i="2"/>
  <c r="C120" i="2"/>
  <c r="I119" i="2"/>
  <c r="J119" i="2" s="1"/>
  <c r="B42" i="2"/>
  <c r="A43" i="2"/>
  <c r="I120" i="2" l="1"/>
  <c r="J120" i="2" s="1"/>
  <c r="C121" i="2"/>
  <c r="D120" i="2"/>
  <c r="B41" i="3"/>
  <c r="H41" i="3"/>
  <c r="A42" i="3"/>
  <c r="G41" i="3"/>
  <c r="I41" i="3"/>
  <c r="X41" i="3"/>
  <c r="E41" i="3"/>
  <c r="D41" i="3"/>
  <c r="C41" i="3"/>
  <c r="F41" i="3"/>
  <c r="B43" i="2"/>
  <c r="A44" i="2"/>
  <c r="D26" i="7"/>
  <c r="F26" i="7" s="1"/>
  <c r="Y41" i="3"/>
  <c r="G26" i="7" l="1"/>
  <c r="H26" i="7" s="1"/>
  <c r="C27" i="7" s="1"/>
  <c r="I26" i="7"/>
  <c r="B27" i="7"/>
  <c r="B44" i="2"/>
  <c r="A45" i="2"/>
  <c r="H42" i="3"/>
  <c r="X42" i="3"/>
  <c r="F42" i="3"/>
  <c r="G42" i="3"/>
  <c r="A43" i="3"/>
  <c r="D42" i="3"/>
  <c r="C42" i="3"/>
  <c r="B42" i="3"/>
  <c r="Y42" i="3" s="1"/>
  <c r="I42" i="3"/>
  <c r="E42" i="3"/>
  <c r="I121" i="2"/>
  <c r="J121" i="2" s="1"/>
  <c r="D121" i="2"/>
  <c r="C122" i="2"/>
  <c r="D122" i="2" l="1"/>
  <c r="I122" i="2"/>
  <c r="J122" i="2" s="1"/>
  <c r="C123" i="2"/>
  <c r="G43" i="3"/>
  <c r="C43" i="3"/>
  <c r="A44" i="3"/>
  <c r="B43" i="3"/>
  <c r="H43" i="3"/>
  <c r="F43" i="3"/>
  <c r="D43" i="3"/>
  <c r="X43" i="3"/>
  <c r="E43" i="3"/>
  <c r="I43" i="3"/>
  <c r="D27" i="7"/>
  <c r="F27" i="7" s="1"/>
  <c r="B45" i="2"/>
  <c r="A46" i="2"/>
  <c r="G27" i="7" l="1"/>
  <c r="H27" i="7" s="1"/>
  <c r="C28" i="7" s="1"/>
  <c r="I27" i="7"/>
  <c r="B28" i="7"/>
  <c r="Y43" i="3"/>
  <c r="E44" i="3"/>
  <c r="A45" i="3"/>
  <c r="H44" i="3"/>
  <c r="I44" i="3"/>
  <c r="X44" i="3"/>
  <c r="F44" i="3"/>
  <c r="B44" i="3"/>
  <c r="C44" i="3"/>
  <c r="G44" i="3"/>
  <c r="D44" i="3"/>
  <c r="I123" i="2"/>
  <c r="J123" i="2" s="1"/>
  <c r="C124" i="2"/>
  <c r="D123" i="2"/>
  <c r="B46" i="2"/>
  <c r="A47" i="2"/>
  <c r="C45" i="3" l="1"/>
  <c r="A46" i="3"/>
  <c r="H45" i="3"/>
  <c r="D45" i="3"/>
  <c r="I45" i="3"/>
  <c r="X45" i="3"/>
  <c r="F45" i="3"/>
  <c r="G45" i="3"/>
  <c r="E45" i="3"/>
  <c r="B45" i="3"/>
  <c r="Y45" i="3" s="1"/>
  <c r="Y44" i="3"/>
  <c r="D28" i="7"/>
  <c r="F28" i="7" s="1"/>
  <c r="B47" i="2"/>
  <c r="A48" i="2"/>
  <c r="D124" i="2"/>
  <c r="I124" i="2"/>
  <c r="J124" i="2" s="1"/>
  <c r="C125" i="2"/>
  <c r="B48" i="2" l="1"/>
  <c r="A49" i="2"/>
  <c r="I28" i="7"/>
  <c r="G28" i="7"/>
  <c r="H28" i="7" s="1"/>
  <c r="C29" i="7" s="1"/>
  <c r="B29" i="7"/>
  <c r="A47" i="3"/>
  <c r="F46" i="3"/>
  <c r="D46" i="3"/>
  <c r="I46" i="3"/>
  <c r="H46" i="3"/>
  <c r="E46" i="3"/>
  <c r="C46" i="3"/>
  <c r="G46" i="3"/>
  <c r="B46" i="3"/>
  <c r="X46" i="3"/>
  <c r="I125" i="2"/>
  <c r="J125" i="2" s="1"/>
  <c r="C126" i="2"/>
  <c r="D125" i="2"/>
  <c r="A48" i="3" l="1"/>
  <c r="D47" i="3"/>
  <c r="H47" i="3"/>
  <c r="C47" i="3"/>
  <c r="G47" i="3"/>
  <c r="F47" i="3"/>
  <c r="I47" i="3"/>
  <c r="E47" i="3"/>
  <c r="X47" i="3"/>
  <c r="B47" i="3"/>
  <c r="D29" i="7"/>
  <c r="F29" i="7" s="1"/>
  <c r="Y46" i="3"/>
  <c r="B49" i="2"/>
  <c r="A50" i="2"/>
  <c r="D126" i="2"/>
  <c r="I126" i="2"/>
  <c r="J126" i="2" s="1"/>
  <c r="C127" i="2"/>
  <c r="B50" i="2" l="1"/>
  <c r="A51" i="2"/>
  <c r="I29" i="7"/>
  <c r="G29" i="7"/>
  <c r="H29" i="7" s="1"/>
  <c r="C30" i="7" s="1"/>
  <c r="B30" i="7"/>
  <c r="C128" i="2"/>
  <c r="D127" i="2"/>
  <c r="I127" i="2"/>
  <c r="J127" i="2" s="1"/>
  <c r="B48" i="3"/>
  <c r="Y48" i="3" s="1"/>
  <c r="G48" i="3"/>
  <c r="F48" i="3"/>
  <c r="I48" i="3"/>
  <c r="X48" i="3"/>
  <c r="A49" i="3"/>
  <c r="D48" i="3"/>
  <c r="E48" i="3"/>
  <c r="H48" i="3"/>
  <c r="C48" i="3"/>
  <c r="Y47" i="3"/>
  <c r="G49" i="3" l="1"/>
  <c r="I49" i="3"/>
  <c r="A50" i="3"/>
  <c r="E49" i="3"/>
  <c r="H49" i="3"/>
  <c r="D49" i="3"/>
  <c r="B49" i="3"/>
  <c r="C49" i="3"/>
  <c r="F49" i="3"/>
  <c r="X49" i="3"/>
  <c r="I128" i="2"/>
  <c r="J128" i="2" s="1"/>
  <c r="D128" i="2"/>
  <c r="C129" i="2"/>
  <c r="D30" i="7"/>
  <c r="F30" i="7" s="1"/>
  <c r="Y49" i="3"/>
  <c r="B51" i="2"/>
  <c r="A52" i="2"/>
  <c r="Y50" i="3" l="1"/>
  <c r="D129" i="2"/>
  <c r="I129" i="2"/>
  <c r="J129" i="2" s="1"/>
  <c r="C130" i="2"/>
  <c r="B52" i="2"/>
  <c r="A53" i="2"/>
  <c r="G30" i="7"/>
  <c r="H30" i="7" s="1"/>
  <c r="C31" i="7" s="1"/>
  <c r="I30" i="7"/>
  <c r="B31" i="7"/>
  <c r="G50" i="3"/>
  <c r="E50" i="3"/>
  <c r="F50" i="3"/>
  <c r="H50" i="3"/>
  <c r="B50" i="3"/>
  <c r="X50" i="3"/>
  <c r="I50" i="3"/>
  <c r="C50" i="3"/>
  <c r="A51" i="3"/>
  <c r="D50" i="3"/>
  <c r="D31" i="7" l="1"/>
  <c r="F31" i="7" s="1"/>
  <c r="I31" i="7" s="1"/>
  <c r="B32" i="7"/>
  <c r="G31" i="7"/>
  <c r="H31" i="7" s="1"/>
  <c r="C32" i="7" s="1"/>
  <c r="Y51" i="3"/>
  <c r="B53" i="2"/>
  <c r="A54" i="2"/>
  <c r="C131" i="2"/>
  <c r="D130" i="2"/>
  <c r="I130" i="2"/>
  <c r="J130" i="2" s="1"/>
  <c r="B51" i="3"/>
  <c r="F51" i="3"/>
  <c r="D51" i="3"/>
  <c r="I51" i="3"/>
  <c r="X51" i="3"/>
  <c r="C51" i="3"/>
  <c r="A52" i="3"/>
  <c r="H51" i="3"/>
  <c r="G51" i="3"/>
  <c r="E51" i="3"/>
  <c r="C132" i="2" l="1"/>
  <c r="D131" i="2"/>
  <c r="I131" i="2"/>
  <c r="J131" i="2" s="1"/>
  <c r="B54" i="2"/>
  <c r="A55" i="2"/>
  <c r="I52" i="3"/>
  <c r="F52" i="3"/>
  <c r="H52" i="3"/>
  <c r="E52" i="3"/>
  <c r="C52" i="3"/>
  <c r="A53" i="3"/>
  <c r="X52" i="3"/>
  <c r="B52" i="3"/>
  <c r="D52" i="3"/>
  <c r="G52" i="3"/>
  <c r="Y52" i="3"/>
  <c r="D32" i="7"/>
  <c r="F32" i="7" s="1"/>
  <c r="Y53" i="3" l="1"/>
  <c r="B55" i="2"/>
  <c r="A56" i="2"/>
  <c r="D53" i="3"/>
  <c r="X53" i="3"/>
  <c r="H53" i="3"/>
  <c r="E53" i="3"/>
  <c r="G53" i="3"/>
  <c r="C53" i="3"/>
  <c r="A54" i="3"/>
  <c r="B53" i="3"/>
  <c r="F53" i="3"/>
  <c r="I53" i="3"/>
  <c r="I32" i="7"/>
  <c r="B33" i="7"/>
  <c r="G32" i="7"/>
  <c r="H32" i="7" s="1"/>
  <c r="C33" i="7" s="1"/>
  <c r="C133" i="2"/>
  <c r="I132" i="2"/>
  <c r="J132" i="2" s="1"/>
  <c r="D132" i="2"/>
  <c r="I133" i="2" l="1"/>
  <c r="J133" i="2" s="1"/>
  <c r="D133" i="2"/>
  <c r="C134" i="2"/>
  <c r="D33" i="7"/>
  <c r="F33" i="7" s="1"/>
  <c r="B56" i="2"/>
  <c r="A57" i="2"/>
  <c r="G54" i="3"/>
  <c r="D54" i="3"/>
  <c r="H54" i="3"/>
  <c r="B54" i="3"/>
  <c r="Y54" i="3" s="1"/>
  <c r="C54" i="3"/>
  <c r="I54" i="3"/>
  <c r="A55" i="3"/>
  <c r="F54" i="3"/>
  <c r="E54" i="3"/>
  <c r="X54" i="3"/>
  <c r="B57" i="2" l="1"/>
  <c r="A58" i="2"/>
  <c r="I33" i="7"/>
  <c r="B34" i="7"/>
  <c r="G33" i="7"/>
  <c r="H33" i="7" s="1"/>
  <c r="C34" i="7" s="1"/>
  <c r="C135" i="2"/>
  <c r="D134" i="2"/>
  <c r="I134" i="2"/>
  <c r="J134" i="2" s="1"/>
  <c r="I55" i="3"/>
  <c r="D55" i="3"/>
  <c r="B55" i="3"/>
  <c r="E55" i="3"/>
  <c r="H55" i="3"/>
  <c r="G55" i="3"/>
  <c r="A56" i="3"/>
  <c r="F55" i="3"/>
  <c r="C55" i="3"/>
  <c r="X55" i="3"/>
  <c r="Y55" i="3"/>
  <c r="G56" i="3" l="1"/>
  <c r="B56" i="3"/>
  <c r="D56" i="3"/>
  <c r="I56" i="3"/>
  <c r="C56" i="3"/>
  <c r="A57" i="3"/>
  <c r="H56" i="3"/>
  <c r="E56" i="3"/>
  <c r="F56" i="3"/>
  <c r="X56" i="3"/>
  <c r="D135" i="2"/>
  <c r="I135" i="2"/>
  <c r="J135" i="2" s="1"/>
  <c r="C136" i="2"/>
  <c r="D34" i="7"/>
  <c r="F34" i="7" s="1"/>
  <c r="Y56" i="3"/>
  <c r="B58" i="2"/>
  <c r="A59" i="2"/>
  <c r="D57" i="3" l="1"/>
  <c r="A58" i="3"/>
  <c r="X57" i="3"/>
  <c r="G57" i="3"/>
  <c r="E57" i="3"/>
  <c r="F57" i="3"/>
  <c r="C57" i="3"/>
  <c r="B57" i="3"/>
  <c r="Y57" i="3" s="1"/>
  <c r="I57" i="3"/>
  <c r="H57" i="3"/>
  <c r="B35" i="7"/>
  <c r="I34" i="7"/>
  <c r="G34" i="7"/>
  <c r="H34" i="7" s="1"/>
  <c r="C35" i="7" s="1"/>
  <c r="C137" i="2"/>
  <c r="D136" i="2"/>
  <c r="I136" i="2"/>
  <c r="J136" i="2" s="1"/>
  <c r="B59" i="2"/>
  <c r="A60" i="2"/>
  <c r="D35" i="7" l="1"/>
  <c r="F35" i="7" s="1"/>
  <c r="B60" i="2"/>
  <c r="A61" i="2"/>
  <c r="I137" i="2"/>
  <c r="J137" i="2" s="1"/>
  <c r="C138" i="2"/>
  <c r="D137" i="2"/>
  <c r="E58" i="3"/>
  <c r="A59" i="3"/>
  <c r="F58" i="3"/>
  <c r="C58" i="3"/>
  <c r="X58" i="3"/>
  <c r="H58" i="3"/>
  <c r="D58" i="3"/>
  <c r="B58" i="3"/>
  <c r="I58" i="3"/>
  <c r="G58" i="3"/>
  <c r="C139" i="2" l="1"/>
  <c r="D138" i="2"/>
  <c r="I138" i="2"/>
  <c r="J138" i="2" s="1"/>
  <c r="B61" i="2"/>
  <c r="A62" i="2"/>
  <c r="Y58" i="3"/>
  <c r="X59" i="3"/>
  <c r="I59" i="3"/>
  <c r="G59" i="3"/>
  <c r="C59" i="3"/>
  <c r="A60" i="3"/>
  <c r="B59" i="3"/>
  <c r="H59" i="3"/>
  <c r="D59" i="3"/>
  <c r="F59" i="3"/>
  <c r="E59" i="3"/>
  <c r="I35" i="7"/>
  <c r="B36" i="7"/>
  <c r="G35" i="7"/>
  <c r="H35" i="7" s="1"/>
  <c r="C36" i="7" s="1"/>
  <c r="B62" i="2" l="1"/>
  <c r="A63" i="2"/>
  <c r="C60" i="3"/>
  <c r="E60" i="3"/>
  <c r="X60" i="3"/>
  <c r="B60" i="3"/>
  <c r="A61" i="3"/>
  <c r="G60" i="3"/>
  <c r="H60" i="3"/>
  <c r="F60" i="3"/>
  <c r="I60" i="3"/>
  <c r="D60" i="3"/>
  <c r="Y59" i="3"/>
  <c r="D36" i="7"/>
  <c r="F36" i="7" s="1"/>
  <c r="I139" i="2"/>
  <c r="J139" i="2" s="1"/>
  <c r="D139" i="2"/>
  <c r="C140" i="2"/>
  <c r="I36" i="7" l="1"/>
  <c r="G36" i="7"/>
  <c r="H36" i="7" s="1"/>
  <c r="C37" i="7" s="1"/>
  <c r="B37" i="7"/>
  <c r="Y60" i="3"/>
  <c r="X61" i="3"/>
  <c r="G61" i="3"/>
  <c r="H61" i="3"/>
  <c r="C61" i="3"/>
  <c r="A62" i="3"/>
  <c r="E61" i="3"/>
  <c r="F61" i="3"/>
  <c r="B61" i="3"/>
  <c r="I61" i="3"/>
  <c r="D61" i="3"/>
  <c r="C141" i="2"/>
  <c r="D140" i="2"/>
  <c r="I140" i="2"/>
  <c r="J140" i="2" s="1"/>
  <c r="B63" i="2"/>
  <c r="A64" i="2"/>
  <c r="D37" i="7" l="1"/>
  <c r="F37" i="7" s="1"/>
  <c r="D141" i="2"/>
  <c r="C142" i="2"/>
  <c r="I141" i="2"/>
  <c r="J141" i="2" s="1"/>
  <c r="B64" i="2"/>
  <c r="A65" i="2"/>
  <c r="G62" i="3"/>
  <c r="A63" i="3"/>
  <c r="H62" i="3"/>
  <c r="D62" i="3"/>
  <c r="F62" i="3"/>
  <c r="B62" i="3"/>
  <c r="C62" i="3"/>
  <c r="X62" i="3"/>
  <c r="I62" i="3"/>
  <c r="E62" i="3"/>
  <c r="Y61" i="3"/>
  <c r="B65" i="2" l="1"/>
  <c r="A66" i="2"/>
  <c r="I142" i="2"/>
  <c r="J142" i="2" s="1"/>
  <c r="C143" i="2"/>
  <c r="D142" i="2"/>
  <c r="B38" i="7"/>
  <c r="I37" i="7"/>
  <c r="G37" i="7"/>
  <c r="H37" i="7" s="1"/>
  <c r="C38" i="7" s="1"/>
  <c r="B63" i="3"/>
  <c r="Y63" i="3" s="1"/>
  <c r="H63" i="3"/>
  <c r="I63" i="3"/>
  <c r="A64" i="3"/>
  <c r="E63" i="3"/>
  <c r="F63" i="3"/>
  <c r="C63" i="3"/>
  <c r="G63" i="3"/>
  <c r="D63" i="3"/>
  <c r="X63" i="3"/>
  <c r="Y62" i="3"/>
  <c r="D38" i="7" l="1"/>
  <c r="F38" i="7" s="1"/>
  <c r="I38" i="7"/>
  <c r="G38" i="7"/>
  <c r="H38" i="7" s="1"/>
  <c r="C39" i="7" s="1"/>
  <c r="B39" i="7"/>
  <c r="I64" i="3"/>
  <c r="A65" i="3"/>
  <c r="H64" i="3"/>
  <c r="B64" i="3"/>
  <c r="G64" i="3"/>
  <c r="F64" i="3"/>
  <c r="C64" i="3"/>
  <c r="X64" i="3"/>
  <c r="E64" i="3"/>
  <c r="D64" i="3"/>
  <c r="C144" i="2"/>
  <c r="D143" i="2"/>
  <c r="I143" i="2"/>
  <c r="J143" i="2" s="1"/>
  <c r="B66" i="2"/>
  <c r="A67" i="2"/>
  <c r="F65" i="3" l="1"/>
  <c r="A66" i="3"/>
  <c r="H65" i="3"/>
  <c r="B65" i="3"/>
  <c r="D65" i="3"/>
  <c r="G65" i="3"/>
  <c r="C65" i="3"/>
  <c r="E65" i="3"/>
  <c r="I65" i="3"/>
  <c r="X65" i="3"/>
  <c r="B67" i="2"/>
  <c r="A68" i="2"/>
  <c r="D39" i="7"/>
  <c r="F39" i="7" s="1"/>
  <c r="C145" i="2"/>
  <c r="I144" i="2"/>
  <c r="J144" i="2" s="1"/>
  <c r="D144" i="2"/>
  <c r="Y65" i="3"/>
  <c r="Y64" i="3"/>
  <c r="D145" i="2" l="1"/>
  <c r="C146" i="2"/>
  <c r="I145" i="2"/>
  <c r="J145" i="2" s="1"/>
  <c r="B40" i="7"/>
  <c r="G39" i="7"/>
  <c r="H39" i="7" s="1"/>
  <c r="C40" i="7" s="1"/>
  <c r="I39" i="7"/>
  <c r="B68" i="2"/>
  <c r="A69" i="2"/>
  <c r="E66" i="3"/>
  <c r="G66" i="3"/>
  <c r="A67" i="3"/>
  <c r="F66" i="3"/>
  <c r="I66" i="3"/>
  <c r="X66" i="3"/>
  <c r="B66" i="3"/>
  <c r="Y66" i="3" s="1"/>
  <c r="D66" i="3"/>
  <c r="H66" i="3"/>
  <c r="C66" i="3"/>
  <c r="D40" i="7" l="1"/>
  <c r="F40" i="7" s="1"/>
  <c r="D67" i="3"/>
  <c r="I67" i="3"/>
  <c r="H67" i="3"/>
  <c r="A68" i="3"/>
  <c r="C67" i="3"/>
  <c r="F67" i="3"/>
  <c r="X67" i="3"/>
  <c r="G67" i="3"/>
  <c r="B67" i="3"/>
  <c r="E67" i="3"/>
  <c r="Y67" i="3"/>
  <c r="D146" i="2"/>
  <c r="I146" i="2"/>
  <c r="J146" i="2" s="1"/>
  <c r="C147" i="2"/>
  <c r="B69" i="2"/>
  <c r="A70" i="2"/>
  <c r="D147" i="2" l="1"/>
  <c r="C148" i="2"/>
  <c r="I147" i="2"/>
  <c r="J147" i="2" s="1"/>
  <c r="I68" i="3"/>
  <c r="D68" i="3"/>
  <c r="G68" i="3"/>
  <c r="H68" i="3"/>
  <c r="A69" i="3"/>
  <c r="B68" i="3"/>
  <c r="Y68" i="3" s="1"/>
  <c r="X68" i="3"/>
  <c r="E68" i="3"/>
  <c r="C68" i="3"/>
  <c r="F68" i="3"/>
  <c r="B70" i="2"/>
  <c r="A71" i="2"/>
  <c r="I40" i="7"/>
  <c r="B41" i="7"/>
  <c r="G40" i="7"/>
  <c r="H40" i="7" s="1"/>
  <c r="C41" i="7" s="1"/>
  <c r="B71" i="2" l="1"/>
  <c r="A72" i="2"/>
  <c r="I148" i="2"/>
  <c r="J148" i="2" s="1"/>
  <c r="D148" i="2"/>
  <c r="C149" i="2"/>
  <c r="D41" i="7"/>
  <c r="F41" i="7" s="1"/>
  <c r="F69" i="3"/>
  <c r="B69" i="3"/>
  <c r="Y69" i="3" s="1"/>
  <c r="C69" i="3"/>
  <c r="I69" i="3"/>
  <c r="D69" i="3"/>
  <c r="X69" i="3"/>
  <c r="E69" i="3"/>
  <c r="G69" i="3"/>
  <c r="A70" i="3"/>
  <c r="H69" i="3"/>
  <c r="G41" i="7" l="1"/>
  <c r="H41" i="7" s="1"/>
  <c r="C42" i="7" s="1"/>
  <c r="B42" i="7"/>
  <c r="I41" i="7"/>
  <c r="B72" i="2"/>
  <c r="A73" i="2"/>
  <c r="B70" i="3"/>
  <c r="X70" i="3"/>
  <c r="G70" i="3"/>
  <c r="I70" i="3"/>
  <c r="H70" i="3"/>
  <c r="A71" i="3"/>
  <c r="F70" i="3"/>
  <c r="E70" i="3"/>
  <c r="C70" i="3"/>
  <c r="D70" i="3"/>
  <c r="I149" i="2"/>
  <c r="J149" i="2" s="1"/>
  <c r="D149" i="2"/>
  <c r="C150" i="2"/>
  <c r="B73" i="2" l="1"/>
  <c r="A74" i="2"/>
  <c r="I150" i="2"/>
  <c r="J150" i="2" s="1"/>
  <c r="C151" i="2"/>
  <c r="D150" i="2"/>
  <c r="Y70" i="3"/>
  <c r="B71" i="3"/>
  <c r="G71" i="3"/>
  <c r="C71" i="3"/>
  <c r="F71" i="3"/>
  <c r="I71" i="3"/>
  <c r="D71" i="3"/>
  <c r="X71" i="3"/>
  <c r="H71" i="3"/>
  <c r="E71" i="3"/>
  <c r="A72" i="3"/>
  <c r="D42" i="7"/>
  <c r="F42" i="7" s="1"/>
  <c r="C152" i="2" l="1"/>
  <c r="D151" i="2"/>
  <c r="I151" i="2"/>
  <c r="J151" i="2" s="1"/>
  <c r="Y71" i="3"/>
  <c r="G42" i="7"/>
  <c r="H42" i="7" s="1"/>
  <c r="C43" i="7" s="1"/>
  <c r="B43" i="7"/>
  <c r="I42" i="7"/>
  <c r="B74" i="2"/>
  <c r="A75" i="2"/>
  <c r="I72" i="3"/>
  <c r="A73" i="3"/>
  <c r="X72" i="3"/>
  <c r="C72" i="3"/>
  <c r="E72" i="3"/>
  <c r="G72" i="3"/>
  <c r="B72" i="3"/>
  <c r="F72" i="3"/>
  <c r="H72" i="3"/>
  <c r="D72" i="3"/>
  <c r="D43" i="7" l="1"/>
  <c r="F43" i="7" s="1"/>
  <c r="B75" i="2"/>
  <c r="A76" i="2"/>
  <c r="D152" i="2"/>
  <c r="I152" i="2"/>
  <c r="J152" i="2" s="1"/>
  <c r="C153" i="2"/>
  <c r="H73" i="3"/>
  <c r="B73" i="3"/>
  <c r="I73" i="3"/>
  <c r="A74" i="3"/>
  <c r="D73" i="3"/>
  <c r="C73" i="3"/>
  <c r="X73" i="3"/>
  <c r="G73" i="3"/>
  <c r="E73" i="3"/>
  <c r="F73" i="3"/>
  <c r="Y72" i="3"/>
  <c r="B76" i="2" l="1"/>
  <c r="A77" i="2"/>
  <c r="I153" i="2"/>
  <c r="J153" i="2" s="1"/>
  <c r="D153" i="2"/>
  <c r="C154" i="2"/>
  <c r="C74" i="3"/>
  <c r="E74" i="3"/>
  <c r="I74" i="3"/>
  <c r="A75" i="3"/>
  <c r="H74" i="3"/>
  <c r="F74" i="3"/>
  <c r="X74" i="3"/>
  <c r="G74" i="3"/>
  <c r="D74" i="3"/>
  <c r="B74" i="3"/>
  <c r="Y73" i="3"/>
  <c r="B44" i="7"/>
  <c r="I43" i="7"/>
  <c r="G43" i="7"/>
  <c r="H43" i="7" s="1"/>
  <c r="C44" i="7" s="1"/>
  <c r="B77" i="2" l="1"/>
  <c r="A78" i="2"/>
  <c r="D154" i="2"/>
  <c r="C155" i="2"/>
  <c r="I154" i="2"/>
  <c r="J154" i="2" s="1"/>
  <c r="D44" i="7"/>
  <c r="F44" i="7" s="1"/>
  <c r="Y75" i="3"/>
  <c r="F75" i="3"/>
  <c r="B75" i="3"/>
  <c r="E75" i="3"/>
  <c r="D75" i="3"/>
  <c r="A76" i="3"/>
  <c r="X75" i="3"/>
  <c r="H75" i="3"/>
  <c r="G75" i="3"/>
  <c r="I75" i="3"/>
  <c r="C75" i="3"/>
  <c r="Y74" i="3"/>
  <c r="G44" i="7" l="1"/>
  <c r="H44" i="7" s="1"/>
  <c r="C45" i="7" s="1"/>
  <c r="B45" i="7"/>
  <c r="I44" i="7"/>
  <c r="I155" i="2"/>
  <c r="J155" i="2" s="1"/>
  <c r="C156" i="2"/>
  <c r="D155" i="2"/>
  <c r="C76" i="3"/>
  <c r="I76" i="3"/>
  <c r="A77" i="3"/>
  <c r="B76" i="3"/>
  <c r="H76" i="3"/>
  <c r="G76" i="3"/>
  <c r="X76" i="3"/>
  <c r="F76" i="3"/>
  <c r="E76" i="3"/>
  <c r="D76" i="3"/>
  <c r="B78" i="2"/>
  <c r="A79" i="2"/>
  <c r="B79" i="2" s="1"/>
  <c r="Y76" i="3"/>
  <c r="D156" i="2" l="1"/>
  <c r="C157" i="2"/>
  <c r="I156" i="2"/>
  <c r="J156" i="2" s="1"/>
  <c r="D45" i="7"/>
  <c r="F45" i="7" s="1"/>
  <c r="E77" i="3"/>
  <c r="B77" i="3"/>
  <c r="Y77" i="3" s="1"/>
  <c r="X77" i="3"/>
  <c r="G77" i="3"/>
  <c r="I77" i="3"/>
  <c r="A78" i="3"/>
  <c r="F77" i="3"/>
  <c r="C77" i="3"/>
  <c r="D77" i="3"/>
  <c r="H77" i="3"/>
  <c r="B46" i="7" l="1"/>
  <c r="I45" i="7"/>
  <c r="G45" i="7"/>
  <c r="H45" i="7" s="1"/>
  <c r="C46" i="7" s="1"/>
  <c r="B78" i="3"/>
  <c r="E78" i="3"/>
  <c r="H78" i="3"/>
  <c r="A79" i="3"/>
  <c r="I78" i="3"/>
  <c r="G78" i="3"/>
  <c r="F78" i="3"/>
  <c r="X78" i="3"/>
  <c r="C78" i="3"/>
  <c r="D78" i="3"/>
  <c r="Y78" i="3"/>
  <c r="D157" i="2"/>
  <c r="I157" i="2"/>
  <c r="J157" i="2" s="1"/>
  <c r="C158" i="2"/>
  <c r="D79" i="3" l="1"/>
  <c r="A80" i="3"/>
  <c r="I79" i="3"/>
  <c r="G79" i="3"/>
  <c r="B79" i="3"/>
  <c r="C79" i="3"/>
  <c r="H79" i="3"/>
  <c r="E79" i="3"/>
  <c r="F79" i="3"/>
  <c r="X79" i="3"/>
  <c r="Y79" i="3"/>
  <c r="I158" i="2"/>
  <c r="J158" i="2" s="1"/>
  <c r="C159" i="2"/>
  <c r="D158" i="2"/>
  <c r="D46" i="7"/>
  <c r="F46" i="7" s="1"/>
  <c r="G46" i="7" l="1"/>
  <c r="H46" i="7" s="1"/>
  <c r="C47" i="7" s="1"/>
  <c r="I46" i="7"/>
  <c r="B47" i="7"/>
  <c r="I159" i="2"/>
  <c r="J159" i="2" s="1"/>
  <c r="C160" i="2"/>
  <c r="D159" i="2"/>
  <c r="A81" i="3"/>
  <c r="H80" i="3"/>
  <c r="D80" i="3"/>
  <c r="F80" i="3"/>
  <c r="B80" i="3"/>
  <c r="G80" i="3"/>
  <c r="I80" i="3"/>
  <c r="C80" i="3"/>
  <c r="X80" i="3"/>
  <c r="E80" i="3"/>
  <c r="D47" i="7" l="1"/>
  <c r="F47" i="7" s="1"/>
  <c r="I47" i="7" s="1"/>
  <c r="Y80" i="3"/>
  <c r="G81" i="3"/>
  <c r="B81" i="3"/>
  <c r="D81" i="3"/>
  <c r="H81" i="3"/>
  <c r="E81" i="3"/>
  <c r="X81" i="3"/>
  <c r="I81" i="3"/>
  <c r="C81" i="3"/>
  <c r="A82" i="3"/>
  <c r="F81" i="3"/>
  <c r="I160" i="2"/>
  <c r="J160" i="2" s="1"/>
  <c r="D160" i="2"/>
  <c r="C161" i="2"/>
  <c r="G47" i="7" l="1"/>
  <c r="H47" i="7" s="1"/>
  <c r="C48" i="7" s="1"/>
  <c r="D48" i="7" s="1"/>
  <c r="F48" i="7" s="1"/>
  <c r="B48" i="7"/>
  <c r="B82" i="3"/>
  <c r="H82" i="3"/>
  <c r="C82" i="3"/>
  <c r="I82" i="3"/>
  <c r="D82" i="3"/>
  <c r="A83" i="3"/>
  <c r="E82" i="3"/>
  <c r="X82" i="3"/>
  <c r="F82" i="3"/>
  <c r="G82" i="3"/>
  <c r="Y82" i="3"/>
  <c r="D161" i="2"/>
  <c r="I161" i="2"/>
  <c r="J161" i="2" s="1"/>
  <c r="C162" i="2"/>
  <c r="Y81" i="3"/>
  <c r="D162" i="2" l="1"/>
  <c r="C163" i="2"/>
  <c r="I162" i="2"/>
  <c r="J162" i="2" s="1"/>
  <c r="D83" i="3"/>
  <c r="C83" i="3"/>
  <c r="E83" i="3"/>
  <c r="B83" i="3"/>
  <c r="Y83" i="3" s="1"/>
  <c r="I83" i="3"/>
  <c r="A84" i="3"/>
  <c r="F83" i="3"/>
  <c r="X83" i="3"/>
  <c r="G83" i="3"/>
  <c r="H83" i="3"/>
  <c r="I48" i="7"/>
  <c r="G48" i="7"/>
  <c r="H48" i="7" s="1"/>
  <c r="C49" i="7" s="1"/>
  <c r="B49" i="7"/>
  <c r="D49" i="7" l="1"/>
  <c r="F49" i="7" s="1"/>
  <c r="D163" i="2"/>
  <c r="I163" i="2"/>
  <c r="J163" i="2" s="1"/>
  <c r="C164" i="2"/>
  <c r="D84" i="3"/>
  <c r="B84" i="3"/>
  <c r="C84" i="3"/>
  <c r="G84" i="3"/>
  <c r="E84" i="3"/>
  <c r="H84" i="3"/>
  <c r="F84" i="3"/>
  <c r="I84" i="3"/>
  <c r="I164" i="2" l="1"/>
  <c r="J164" i="2" s="1"/>
  <c r="C165" i="2"/>
  <c r="D164" i="2"/>
  <c r="G49" i="7"/>
  <c r="H49" i="7" s="1"/>
  <c r="C50" i="7" s="1"/>
  <c r="B50" i="7"/>
  <c r="I49" i="7"/>
  <c r="D165" i="2" l="1"/>
  <c r="C166" i="2"/>
  <c r="I165" i="2"/>
  <c r="J165" i="2" s="1"/>
  <c r="D50" i="7"/>
  <c r="F50" i="7" s="1"/>
  <c r="I50" i="7" l="1"/>
  <c r="G50" i="7"/>
  <c r="H50" i="7" s="1"/>
  <c r="C51" i="7" s="1"/>
  <c r="B51" i="7"/>
  <c r="C167" i="2"/>
  <c r="I166" i="2"/>
  <c r="J166" i="2" s="1"/>
  <c r="D166" i="2"/>
  <c r="D51" i="7" l="1"/>
  <c r="F51" i="7" s="1"/>
  <c r="G51" i="7" s="1"/>
  <c r="H51" i="7" s="1"/>
  <c r="C52" i="7" s="1"/>
  <c r="C168" i="2"/>
  <c r="D167" i="2"/>
  <c r="I167" i="2"/>
  <c r="J167" i="2" s="1"/>
  <c r="I51" i="7" l="1"/>
  <c r="B52" i="7"/>
  <c r="D52" i="7" s="1"/>
  <c r="F52" i="7" s="1"/>
  <c r="D168" i="2"/>
  <c r="I168" i="2"/>
  <c r="J168" i="2" s="1"/>
  <c r="C169" i="2"/>
  <c r="I169" i="2" l="1"/>
  <c r="J169" i="2" s="1"/>
  <c r="D169" i="2"/>
  <c r="C170" i="2"/>
  <c r="B53" i="7"/>
  <c r="G52" i="7"/>
  <c r="H52" i="7" s="1"/>
  <c r="C53" i="7" s="1"/>
  <c r="I52" i="7"/>
  <c r="D53" i="7" l="1"/>
  <c r="F53" i="7" s="1"/>
  <c r="C171" i="2"/>
  <c r="D170" i="2"/>
  <c r="I170" i="2"/>
  <c r="J170" i="2" s="1"/>
  <c r="D171" i="2" l="1"/>
  <c r="I171" i="2"/>
  <c r="J171" i="2" s="1"/>
  <c r="C172" i="2"/>
  <c r="B54" i="7"/>
  <c r="G53" i="7"/>
  <c r="H53" i="7" s="1"/>
  <c r="C54" i="7" s="1"/>
  <c r="I53" i="7"/>
  <c r="D54" i="7" l="1"/>
  <c r="F54" i="7" s="1"/>
  <c r="D172" i="2"/>
  <c r="C173" i="2"/>
  <c r="I172" i="2"/>
  <c r="J172" i="2" s="1"/>
  <c r="I173" i="2" l="1"/>
  <c r="J173" i="2" s="1"/>
  <c r="D173" i="2"/>
  <c r="C174" i="2"/>
  <c r="I54" i="7"/>
  <c r="B55" i="7"/>
  <c r="G54" i="7"/>
  <c r="H54" i="7" s="1"/>
  <c r="C55" i="7" s="1"/>
  <c r="D55" i="7" l="1"/>
  <c r="F55" i="7" s="1"/>
  <c r="C175" i="2"/>
  <c r="I174" i="2"/>
  <c r="J174" i="2" s="1"/>
  <c r="D174" i="2"/>
  <c r="D175" i="2" l="1"/>
  <c r="C176" i="2"/>
  <c r="I175" i="2"/>
  <c r="J175" i="2" s="1"/>
  <c r="I55" i="7"/>
  <c r="G55" i="7"/>
  <c r="H55" i="7" s="1"/>
  <c r="C56" i="7" s="1"/>
  <c r="B56" i="7"/>
  <c r="D56" i="7" l="1"/>
  <c r="F56" i="7" s="1"/>
  <c r="I176" i="2"/>
  <c r="J176" i="2" s="1"/>
  <c r="C177" i="2"/>
  <c r="D176" i="2"/>
  <c r="D177" i="2" l="1"/>
  <c r="C178" i="2"/>
  <c r="I177" i="2"/>
  <c r="J177" i="2" s="1"/>
  <c r="G56" i="7"/>
  <c r="H56" i="7" s="1"/>
  <c r="C57" i="7" s="1"/>
  <c r="I56" i="7"/>
  <c r="B57" i="7"/>
  <c r="D178" i="2" l="1"/>
  <c r="C179" i="2"/>
  <c r="I178" i="2"/>
  <c r="J178" i="2" s="1"/>
  <c r="D57" i="7"/>
  <c r="F57" i="7" s="1"/>
  <c r="G57" i="7" l="1"/>
  <c r="H57" i="7" s="1"/>
  <c r="C58" i="7" s="1"/>
  <c r="B58" i="7"/>
  <c r="I57" i="7"/>
  <c r="C180" i="2"/>
  <c r="I179" i="2"/>
  <c r="J179" i="2" s="1"/>
  <c r="D179" i="2"/>
  <c r="C181" i="2" l="1"/>
  <c r="D180" i="2"/>
  <c r="I180" i="2"/>
  <c r="J180" i="2" s="1"/>
  <c r="D58" i="7"/>
  <c r="F58" i="7" s="1"/>
  <c r="B59" i="7" l="1"/>
  <c r="I58" i="7"/>
  <c r="G58" i="7"/>
  <c r="H58" i="7" s="1"/>
  <c r="C59" i="7" s="1"/>
  <c r="C182" i="2"/>
  <c r="I181" i="2"/>
  <c r="J181" i="2" s="1"/>
  <c r="D181" i="2"/>
  <c r="D182" i="2" l="1"/>
  <c r="C183" i="2"/>
  <c r="I182" i="2"/>
  <c r="J182" i="2" s="1"/>
  <c r="D59" i="7"/>
  <c r="F59" i="7" s="1"/>
  <c r="G59" i="7" l="1"/>
  <c r="H59" i="7" s="1"/>
  <c r="C60" i="7" s="1"/>
  <c r="B60" i="7"/>
  <c r="I59" i="7"/>
  <c r="C184" i="2"/>
  <c r="D183" i="2"/>
  <c r="I183" i="2"/>
  <c r="J183" i="2" s="1"/>
  <c r="C185" i="2" l="1"/>
  <c r="D184" i="2"/>
  <c r="I184" i="2"/>
  <c r="J184" i="2" s="1"/>
  <c r="D60" i="7"/>
  <c r="F60" i="7" s="1"/>
  <c r="G60" i="7" l="1"/>
  <c r="H60" i="7" s="1"/>
  <c r="C61" i="7" s="1"/>
  <c r="B61" i="7"/>
  <c r="I60" i="7"/>
  <c r="D185" i="2"/>
  <c r="I185" i="2"/>
  <c r="J185" i="2" s="1"/>
  <c r="C186" i="2"/>
  <c r="D61" i="7" l="1"/>
  <c r="F61" i="7" s="1"/>
  <c r="C187" i="2"/>
  <c r="I186" i="2"/>
  <c r="J186" i="2" s="1"/>
  <c r="D186" i="2"/>
  <c r="C188" i="2" l="1"/>
  <c r="I187" i="2"/>
  <c r="J187" i="2" s="1"/>
  <c r="D187" i="2"/>
  <c r="G61" i="7"/>
  <c r="H61" i="7" s="1"/>
  <c r="C62" i="7" s="1"/>
  <c r="I61" i="7"/>
  <c r="B62" i="7"/>
  <c r="D62" i="7" l="1"/>
  <c r="F62" i="7" s="1"/>
  <c r="B63" i="7" s="1"/>
  <c r="D188" i="2"/>
  <c r="C189" i="2"/>
  <c r="I188" i="2"/>
  <c r="J188" i="2" s="1"/>
  <c r="I62" i="7" l="1"/>
  <c r="G62" i="7"/>
  <c r="H62" i="7" s="1"/>
  <c r="C63" i="7" s="1"/>
  <c r="D63" i="7" s="1"/>
  <c r="F63" i="7" s="1"/>
  <c r="D189" i="2"/>
  <c r="C190" i="2"/>
  <c r="I189" i="2"/>
  <c r="J189" i="2" s="1"/>
  <c r="G63" i="7" l="1"/>
  <c r="H63" i="7" s="1"/>
  <c r="C64" i="7" s="1"/>
  <c r="I63" i="7"/>
  <c r="B64" i="7"/>
  <c r="I190" i="2"/>
  <c r="J190" i="2" s="1"/>
  <c r="D190" i="2"/>
  <c r="C191" i="2"/>
  <c r="D64" i="7" l="1"/>
  <c r="F64" i="7" s="1"/>
  <c r="G64" i="7" s="1"/>
  <c r="H64" i="7" s="1"/>
  <c r="C65" i="7" s="1"/>
  <c r="I191" i="2"/>
  <c r="J191" i="2" s="1"/>
  <c r="C192" i="2"/>
  <c r="D191" i="2"/>
  <c r="B65" i="7" l="1"/>
  <c r="D65" i="7" s="1"/>
  <c r="F65" i="7" s="1"/>
  <c r="I64" i="7"/>
  <c r="I192" i="2"/>
  <c r="J192" i="2" s="1"/>
  <c r="C193" i="2"/>
  <c r="D192" i="2"/>
  <c r="C194" i="2" l="1"/>
  <c r="D193" i="2"/>
  <c r="I193" i="2"/>
  <c r="J193" i="2" s="1"/>
  <c r="I65" i="7"/>
  <c r="B66" i="7"/>
  <c r="G65" i="7"/>
  <c r="H65" i="7" s="1"/>
  <c r="C66" i="7" s="1"/>
  <c r="D66" i="7" l="1"/>
  <c r="F66" i="7" s="1"/>
  <c r="C195" i="2"/>
  <c r="I194" i="2"/>
  <c r="J194" i="2" s="1"/>
  <c r="D194" i="2"/>
  <c r="C196" i="2" l="1"/>
  <c r="D195" i="2"/>
  <c r="I195" i="2"/>
  <c r="J195" i="2" s="1"/>
  <c r="I66" i="7"/>
  <c r="B67" i="7"/>
  <c r="G66" i="7"/>
  <c r="H66" i="7" s="1"/>
  <c r="C67" i="7" s="1"/>
  <c r="D67" i="7" l="1"/>
  <c r="F67" i="7" s="1"/>
  <c r="D196" i="2"/>
  <c r="C197" i="2"/>
  <c r="I196" i="2"/>
  <c r="J196" i="2" s="1"/>
  <c r="I197" i="2" l="1"/>
  <c r="J197" i="2" s="1"/>
  <c r="C198" i="2"/>
  <c r="D197" i="2"/>
  <c r="B68" i="7"/>
  <c r="I67" i="7"/>
  <c r="G67" i="7"/>
  <c r="H67" i="7" s="1"/>
  <c r="C68" i="7" s="1"/>
  <c r="D68" i="7" l="1"/>
  <c r="F68" i="7" s="1"/>
  <c r="D198" i="2"/>
  <c r="C199" i="2"/>
  <c r="I198" i="2"/>
  <c r="J198" i="2" s="1"/>
  <c r="C200" i="2" l="1"/>
  <c r="D199" i="2"/>
  <c r="I199" i="2"/>
  <c r="J199" i="2" s="1"/>
  <c r="I68" i="7"/>
  <c r="G68" i="7"/>
  <c r="H68" i="7" s="1"/>
  <c r="C69" i="7" s="1"/>
  <c r="B69" i="7"/>
  <c r="D69" i="7" l="1"/>
  <c r="F69" i="7" s="1"/>
  <c r="D200" i="2"/>
  <c r="I200" i="2"/>
  <c r="J200" i="2" s="1"/>
  <c r="C201" i="2"/>
  <c r="D201" i="2" l="1"/>
  <c r="C202" i="2"/>
  <c r="I201" i="2"/>
  <c r="J201" i="2" s="1"/>
  <c r="I69" i="7"/>
  <c r="B70" i="7"/>
  <c r="G69" i="7"/>
  <c r="H69" i="7" s="1"/>
  <c r="C70" i="7" s="1"/>
  <c r="D202" i="2" l="1"/>
  <c r="I202" i="2"/>
  <c r="J202" i="2" s="1"/>
  <c r="C203" i="2"/>
  <c r="D70" i="7"/>
  <c r="F70" i="7" s="1"/>
  <c r="D203" i="2" l="1"/>
  <c r="I203" i="2"/>
  <c r="J203" i="2" s="1"/>
  <c r="C204" i="2"/>
  <c r="I70" i="7"/>
  <c r="B71" i="7"/>
  <c r="G70" i="7"/>
  <c r="H70" i="7" s="1"/>
  <c r="C71" i="7" s="1"/>
  <c r="D71" i="7" l="1"/>
  <c r="F71" i="7" s="1"/>
  <c r="D204" i="2"/>
  <c r="C205" i="2"/>
  <c r="I204" i="2"/>
  <c r="J204" i="2" s="1"/>
  <c r="D205" i="2" l="1"/>
  <c r="C206" i="2"/>
  <c r="I205" i="2"/>
  <c r="J205" i="2" s="1"/>
  <c r="B72" i="7"/>
  <c r="G71" i="7"/>
  <c r="H71" i="7" s="1"/>
  <c r="C72" i="7" s="1"/>
  <c r="I71" i="7"/>
  <c r="D72" i="7" l="1"/>
  <c r="F72" i="7" s="1"/>
  <c r="C207" i="2"/>
  <c r="I206" i="2"/>
  <c r="J206" i="2" s="1"/>
  <c r="D206" i="2"/>
  <c r="I207" i="2" l="1"/>
  <c r="J207" i="2" s="1"/>
  <c r="C208" i="2"/>
  <c r="D207" i="2"/>
  <c r="G72" i="7"/>
  <c r="H72" i="7" s="1"/>
  <c r="C73" i="7" s="1"/>
  <c r="B73" i="7"/>
  <c r="I72" i="7"/>
  <c r="D208" i="2" l="1"/>
  <c r="C209" i="2"/>
  <c r="I208" i="2"/>
  <c r="J208" i="2" s="1"/>
  <c r="D73" i="7"/>
  <c r="F73" i="7" s="1"/>
  <c r="D209" i="2" l="1"/>
  <c r="I209" i="2"/>
  <c r="J209" i="2" s="1"/>
  <c r="C210" i="2"/>
  <c r="I73" i="7"/>
  <c r="B74" i="7"/>
  <c r="G73" i="7"/>
  <c r="H73" i="7" s="1"/>
  <c r="C74" i="7" s="1"/>
  <c r="D74" i="7" l="1"/>
  <c r="F74" i="7" s="1"/>
  <c r="C211" i="2"/>
  <c r="I210" i="2"/>
  <c r="J210" i="2" s="1"/>
  <c r="D210" i="2"/>
  <c r="D211" i="2" l="1"/>
  <c r="I211" i="2"/>
  <c r="J211" i="2" s="1"/>
  <c r="C212" i="2"/>
  <c r="I74" i="7"/>
  <c r="B75" i="7"/>
  <c r="G74" i="7"/>
  <c r="H74" i="7" s="1"/>
  <c r="C75" i="7" s="1"/>
  <c r="D212" i="2" l="1"/>
  <c r="C213" i="2"/>
  <c r="I212" i="2"/>
  <c r="J212" i="2" s="1"/>
  <c r="D75" i="7"/>
  <c r="F75" i="7" s="1"/>
  <c r="I75" i="7" l="1"/>
  <c r="B76" i="7"/>
  <c r="G75" i="7"/>
  <c r="H75" i="7" s="1"/>
  <c r="C76" i="7" s="1"/>
  <c r="D213" i="2"/>
  <c r="C214" i="2"/>
  <c r="I213" i="2"/>
  <c r="J213" i="2" s="1"/>
  <c r="C215" i="2" l="1"/>
  <c r="I214" i="2"/>
  <c r="J214" i="2" s="1"/>
  <c r="D214" i="2"/>
  <c r="D76" i="7"/>
  <c r="F76" i="7" s="1"/>
  <c r="I76" i="7" l="1"/>
  <c r="G76" i="7"/>
  <c r="H76" i="7" s="1"/>
  <c r="C77" i="7" s="1"/>
  <c r="B77" i="7"/>
  <c r="I215" i="2"/>
  <c r="J215" i="2" s="1"/>
  <c r="C216" i="2"/>
  <c r="D215" i="2"/>
  <c r="D77" i="7" l="1"/>
  <c r="F77" i="7" s="1"/>
  <c r="I216" i="2"/>
  <c r="J216" i="2" s="1"/>
  <c r="D216" i="2"/>
  <c r="C217" i="2"/>
  <c r="B78" i="7"/>
  <c r="I77" i="7"/>
  <c r="G77" i="7"/>
  <c r="H77" i="7" s="1"/>
  <c r="C78" i="7" s="1"/>
  <c r="D78" i="7" l="1"/>
  <c r="F78" i="7" s="1"/>
  <c r="C218" i="2"/>
  <c r="D217" i="2"/>
  <c r="I217" i="2"/>
  <c r="J217" i="2" s="1"/>
  <c r="D218" i="2" l="1"/>
  <c r="I218" i="2"/>
  <c r="J218" i="2" s="1"/>
  <c r="C219" i="2"/>
  <c r="B79" i="7"/>
  <c r="I78" i="7"/>
  <c r="G78" i="7"/>
  <c r="H78" i="7" s="1"/>
  <c r="C79" i="7" s="1"/>
  <c r="D79" i="7" l="1"/>
  <c r="F79" i="7" s="1"/>
  <c r="D219" i="2"/>
  <c r="C220" i="2"/>
  <c r="I219" i="2"/>
  <c r="J219" i="2" s="1"/>
  <c r="D220" i="2" l="1"/>
  <c r="I220" i="2"/>
  <c r="J220" i="2" s="1"/>
  <c r="C221" i="2"/>
  <c r="B80" i="7"/>
  <c r="G79" i="7"/>
  <c r="H79" i="7" s="1"/>
  <c r="C80" i="7" s="1"/>
  <c r="I79" i="7"/>
  <c r="D80" i="7" l="1"/>
  <c r="F80" i="7" s="1"/>
  <c r="C222" i="2"/>
  <c r="I221" i="2"/>
  <c r="J221" i="2" s="1"/>
  <c r="D221" i="2"/>
  <c r="C223" i="2" l="1"/>
  <c r="D222" i="2"/>
  <c r="I222" i="2"/>
  <c r="J222" i="2" s="1"/>
  <c r="I80" i="7"/>
  <c r="B81" i="7"/>
  <c r="G80" i="7"/>
  <c r="H80" i="7" s="1"/>
  <c r="C81" i="7" s="1"/>
  <c r="D81" i="7" l="1"/>
  <c r="F81" i="7" s="1"/>
  <c r="C224" i="2"/>
  <c r="D223" i="2"/>
  <c r="I223" i="2"/>
  <c r="J223" i="2" s="1"/>
  <c r="D224" i="2" l="1"/>
  <c r="I224" i="2"/>
  <c r="J224" i="2" s="1"/>
  <c r="C225" i="2"/>
  <c r="G81" i="7"/>
  <c r="H81" i="7" s="1"/>
  <c r="C82" i="7" s="1"/>
  <c r="I81" i="7"/>
  <c r="B82" i="7"/>
  <c r="D82" i="7" l="1"/>
  <c r="F82" i="7" s="1"/>
  <c r="D225" i="2"/>
  <c r="I225" i="2"/>
  <c r="J225" i="2" s="1"/>
  <c r="C226" i="2"/>
  <c r="I226" i="2" l="1"/>
  <c r="J226" i="2" s="1"/>
  <c r="D226" i="2"/>
  <c r="C227" i="2"/>
  <c r="I82" i="7"/>
  <c r="G82" i="7"/>
  <c r="H82" i="7" s="1"/>
  <c r="C83" i="7" s="1"/>
  <c r="B83" i="7"/>
  <c r="D83" i="7" l="1"/>
  <c r="F83" i="7" s="1"/>
  <c r="I227" i="2"/>
  <c r="J227" i="2" s="1"/>
  <c r="D227" i="2"/>
  <c r="C228" i="2"/>
  <c r="G83" i="7" l="1"/>
  <c r="H83" i="7" s="1"/>
  <c r="C84" i="7" s="1"/>
  <c r="I83" i="7"/>
  <c r="B84" i="7"/>
  <c r="C229" i="2"/>
  <c r="I228" i="2"/>
  <c r="J228" i="2" s="1"/>
  <c r="D228" i="2"/>
  <c r="C230" i="2" l="1"/>
  <c r="D229" i="2"/>
  <c r="I229" i="2"/>
  <c r="J229" i="2" s="1"/>
  <c r="D84" i="7"/>
  <c r="F84" i="7" s="1"/>
  <c r="B85" i="7" l="1"/>
  <c r="I84" i="7"/>
  <c r="G84" i="7"/>
  <c r="H84" i="7" s="1"/>
  <c r="C85" i="7" s="1"/>
  <c r="C231" i="2"/>
  <c r="D230" i="2"/>
  <c r="I230" i="2"/>
  <c r="J230" i="2" s="1"/>
  <c r="I231" i="2" l="1"/>
  <c r="J231" i="2" s="1"/>
  <c r="D231" i="2"/>
  <c r="C232" i="2"/>
  <c r="D85" i="7"/>
  <c r="F85" i="7" s="1"/>
  <c r="I232" i="2" l="1"/>
  <c r="J232" i="2" s="1"/>
  <c r="D232" i="2"/>
  <c r="C233" i="2"/>
  <c r="B86" i="7"/>
  <c r="I85" i="7"/>
  <c r="G85" i="7"/>
  <c r="H85" i="7" s="1"/>
  <c r="C86" i="7" s="1"/>
  <c r="D86" i="7" l="1"/>
  <c r="F86" i="7" s="1"/>
  <c r="C234" i="2"/>
  <c r="I233" i="2"/>
  <c r="J233" i="2" s="1"/>
  <c r="D233" i="2"/>
  <c r="I234" i="2" l="1"/>
  <c r="J234" i="2" s="1"/>
  <c r="C235" i="2"/>
  <c r="D234" i="2"/>
  <c r="G86" i="7"/>
  <c r="H86" i="7" s="1"/>
  <c r="C87" i="7" s="1"/>
  <c r="I86" i="7"/>
  <c r="B87" i="7"/>
  <c r="D87" i="7" l="1"/>
  <c r="F87" i="7" s="1"/>
  <c r="C236" i="2"/>
  <c r="D235" i="2"/>
  <c r="I235" i="2"/>
  <c r="J235" i="2" s="1"/>
  <c r="C237" i="2" l="1"/>
  <c r="D236" i="2"/>
  <c r="I236" i="2"/>
  <c r="J236" i="2" s="1"/>
  <c r="G87" i="7"/>
  <c r="H87" i="7" s="1"/>
  <c r="C88" i="7" s="1"/>
  <c r="B88" i="7"/>
  <c r="I87" i="7"/>
  <c r="D88" i="7" l="1"/>
  <c r="F88" i="7" s="1"/>
  <c r="D237" i="2"/>
  <c r="I237" i="2"/>
  <c r="J237" i="2" s="1"/>
  <c r="C238" i="2"/>
  <c r="C239" i="2" l="1"/>
  <c r="D238" i="2"/>
  <c r="I238" i="2"/>
  <c r="J238" i="2" s="1"/>
  <c r="B89" i="7"/>
  <c r="I88" i="7"/>
  <c r="G88" i="7"/>
  <c r="H88" i="7" s="1"/>
  <c r="C89" i="7" s="1"/>
  <c r="D89" i="7" l="1"/>
  <c r="F89" i="7" s="1"/>
  <c r="C240" i="2"/>
  <c r="D239" i="2"/>
  <c r="I239" i="2"/>
  <c r="J239" i="2" s="1"/>
  <c r="C241" i="2" l="1"/>
  <c r="D240" i="2"/>
  <c r="I240" i="2"/>
  <c r="J240" i="2" s="1"/>
  <c r="B90" i="7"/>
  <c r="I89" i="7"/>
  <c r="G89" i="7"/>
  <c r="H89" i="7" s="1"/>
  <c r="C90" i="7" s="1"/>
  <c r="D90" i="7" l="1"/>
  <c r="F90" i="7" s="1"/>
  <c r="C242" i="2"/>
  <c r="D241" i="2"/>
  <c r="I241" i="2"/>
  <c r="J241" i="2" s="1"/>
  <c r="C243" i="2" l="1"/>
  <c r="D242" i="2"/>
  <c r="I242" i="2"/>
  <c r="J242" i="2" s="1"/>
  <c r="G90" i="7"/>
  <c r="H90" i="7" s="1"/>
  <c r="C91" i="7" s="1"/>
  <c r="B91" i="7"/>
  <c r="I90" i="7"/>
  <c r="D91" i="7" l="1"/>
  <c r="F91" i="7" s="1"/>
  <c r="G91" i="7"/>
  <c r="H91" i="7" s="1"/>
  <c r="C92" i="7" s="1"/>
  <c r="I91" i="7"/>
  <c r="B92" i="7"/>
  <c r="I243" i="2"/>
  <c r="J243" i="2" s="1"/>
  <c r="C244" i="2"/>
  <c r="D243" i="2"/>
  <c r="D92" i="7" l="1"/>
  <c r="F92" i="7" s="1"/>
  <c r="D244" i="2"/>
  <c r="I244" i="2"/>
  <c r="J244" i="2" s="1"/>
  <c r="C245" i="2"/>
  <c r="B93" i="7" l="1"/>
  <c r="G92" i="7"/>
  <c r="H92" i="7" s="1"/>
  <c r="C93" i="7" s="1"/>
  <c r="I92" i="7"/>
  <c r="C246" i="2"/>
  <c r="D245" i="2"/>
  <c r="I245" i="2"/>
  <c r="J245" i="2" s="1"/>
  <c r="I246" i="2" l="1"/>
  <c r="J246" i="2" s="1"/>
  <c r="C247" i="2"/>
  <c r="D246" i="2"/>
  <c r="D93" i="7"/>
  <c r="F93" i="7" s="1"/>
  <c r="B94" i="7" l="1"/>
  <c r="G93" i="7"/>
  <c r="H93" i="7" s="1"/>
  <c r="C94" i="7" s="1"/>
  <c r="I93" i="7"/>
  <c r="D247" i="2"/>
  <c r="I247" i="2"/>
  <c r="J247" i="2" s="1"/>
  <c r="C248" i="2"/>
  <c r="C249" i="2" l="1"/>
  <c r="I248" i="2"/>
  <c r="J248" i="2" s="1"/>
  <c r="D248" i="2"/>
  <c r="D94" i="7"/>
  <c r="F94" i="7" s="1"/>
  <c r="I94" i="7" l="1"/>
  <c r="G94" i="7"/>
  <c r="H94" i="7" s="1"/>
  <c r="C95" i="7" s="1"/>
  <c r="B95" i="7"/>
  <c r="D249" i="2"/>
  <c r="C250" i="2"/>
  <c r="I249" i="2"/>
  <c r="J249" i="2" s="1"/>
  <c r="D250" i="2" l="1"/>
  <c r="I250" i="2"/>
  <c r="J250" i="2" s="1"/>
  <c r="C251" i="2"/>
  <c r="D95" i="7"/>
  <c r="F95" i="7" s="1"/>
  <c r="G95" i="7" l="1"/>
  <c r="H95" i="7" s="1"/>
  <c r="C96" i="7" s="1"/>
  <c r="I95" i="7"/>
  <c r="B96" i="7"/>
  <c r="I251" i="2"/>
  <c r="J251" i="2" s="1"/>
  <c r="D251" i="2"/>
  <c r="C252" i="2"/>
  <c r="I252" i="2" l="1"/>
  <c r="J252" i="2" s="1"/>
  <c r="C253" i="2"/>
  <c r="D252" i="2"/>
  <c r="D96" i="7"/>
  <c r="F96" i="7" s="1"/>
  <c r="B97" i="7" l="1"/>
  <c r="I96" i="7"/>
  <c r="G96" i="7"/>
  <c r="H96" i="7" s="1"/>
  <c r="C97" i="7" s="1"/>
  <c r="C254" i="2"/>
  <c r="D253" i="2"/>
  <c r="I253" i="2"/>
  <c r="J253" i="2" s="1"/>
  <c r="D254" i="2" l="1"/>
  <c r="C255" i="2"/>
  <c r="I254" i="2"/>
  <c r="J254" i="2" s="1"/>
  <c r="D97" i="7"/>
  <c r="F97" i="7" s="1"/>
  <c r="B98" i="7" l="1"/>
  <c r="G97" i="7"/>
  <c r="H97" i="7" s="1"/>
  <c r="C98" i="7" s="1"/>
  <c r="I97" i="7"/>
  <c r="D255" i="2"/>
  <c r="C256" i="2"/>
  <c r="I255" i="2"/>
  <c r="J255" i="2" s="1"/>
  <c r="D256" i="2" l="1"/>
  <c r="C257" i="2"/>
  <c r="I256" i="2"/>
  <c r="J256" i="2" s="1"/>
  <c r="D98" i="7"/>
  <c r="F98" i="7" s="1"/>
  <c r="B99" i="7" l="1"/>
  <c r="G98" i="7"/>
  <c r="H98" i="7" s="1"/>
  <c r="C99" i="7" s="1"/>
  <c r="I98" i="7"/>
  <c r="C258" i="2"/>
  <c r="I257" i="2"/>
  <c r="J257" i="2" s="1"/>
  <c r="D257" i="2"/>
  <c r="C259" i="2" l="1"/>
  <c r="I258" i="2"/>
  <c r="J258" i="2" s="1"/>
  <c r="D258" i="2"/>
  <c r="D99" i="7"/>
  <c r="F99" i="7" s="1"/>
  <c r="G99" i="7" l="1"/>
  <c r="H99" i="7" s="1"/>
  <c r="C100" i="7" s="1"/>
  <c r="I99" i="7"/>
  <c r="B100" i="7"/>
  <c r="I259" i="2"/>
  <c r="J259" i="2" s="1"/>
  <c r="C260" i="2"/>
  <c r="D259" i="2"/>
  <c r="D260" i="2" l="1"/>
  <c r="I260" i="2"/>
  <c r="J260" i="2" s="1"/>
  <c r="C261" i="2"/>
  <c r="D100" i="7"/>
  <c r="F100" i="7" s="1"/>
  <c r="I100" i="7" l="1"/>
  <c r="B101" i="7"/>
  <c r="G100" i="7"/>
  <c r="H100" i="7" s="1"/>
  <c r="C101" i="7" s="1"/>
  <c r="C262" i="2"/>
  <c r="I261" i="2"/>
  <c r="J261" i="2" s="1"/>
  <c r="D261" i="2"/>
  <c r="I262" i="2" l="1"/>
  <c r="J262" i="2" s="1"/>
  <c r="C263" i="2"/>
  <c r="D262" i="2"/>
  <c r="D101" i="7"/>
  <c r="F101" i="7" s="1"/>
  <c r="B102" i="7" l="1"/>
  <c r="I101" i="7"/>
  <c r="G101" i="7"/>
  <c r="H101" i="7" s="1"/>
  <c r="C102" i="7" s="1"/>
  <c r="D263" i="2"/>
  <c r="C264" i="2"/>
  <c r="I263" i="2"/>
  <c r="J263" i="2" s="1"/>
  <c r="I264" i="2" l="1"/>
  <c r="J264" i="2" s="1"/>
  <c r="C265" i="2"/>
  <c r="D264" i="2"/>
  <c r="D102" i="7"/>
  <c r="F102" i="7" s="1"/>
  <c r="C266" i="2" l="1"/>
  <c r="D265" i="2"/>
  <c r="I265" i="2"/>
  <c r="J265" i="2" s="1"/>
  <c r="B103" i="7"/>
  <c r="G102" i="7"/>
  <c r="H102" i="7" s="1"/>
  <c r="C103" i="7" s="1"/>
  <c r="I102" i="7"/>
  <c r="D103" i="7" l="1"/>
  <c r="F103" i="7" s="1"/>
  <c r="D266" i="2"/>
  <c r="I266" i="2"/>
  <c r="J266" i="2" s="1"/>
  <c r="C267" i="2"/>
  <c r="D267" i="2" l="1"/>
  <c r="I267" i="2"/>
  <c r="J267" i="2" s="1"/>
  <c r="C268" i="2"/>
  <c r="B104" i="7"/>
  <c r="I103" i="7"/>
  <c r="G103" i="7"/>
  <c r="H103" i="7" s="1"/>
  <c r="C104" i="7" s="1"/>
  <c r="D104" i="7" l="1"/>
  <c r="F104" i="7" s="1"/>
  <c r="C269" i="2"/>
  <c r="D268" i="2"/>
  <c r="I268" i="2"/>
  <c r="J268" i="2" s="1"/>
  <c r="C270" i="2" l="1"/>
  <c r="D269" i="2"/>
  <c r="I269" i="2"/>
  <c r="J269" i="2" s="1"/>
  <c r="I104" i="7"/>
  <c r="G104" i="7"/>
  <c r="H104" i="7" s="1"/>
  <c r="C105" i="7" s="1"/>
  <c r="B105" i="7"/>
  <c r="D105" i="7" l="1"/>
  <c r="F105" i="7" s="1"/>
  <c r="D270" i="2"/>
  <c r="C271" i="2"/>
  <c r="I270" i="2"/>
  <c r="J270" i="2" s="1"/>
  <c r="I271" i="2" l="1"/>
  <c r="J271" i="2" s="1"/>
  <c r="C272" i="2"/>
  <c r="D271" i="2"/>
  <c r="I105" i="7"/>
  <c r="B106" i="7"/>
  <c r="G105" i="7"/>
  <c r="H105" i="7" s="1"/>
  <c r="C106" i="7" s="1"/>
  <c r="D272" i="2" l="1"/>
  <c r="C273" i="2"/>
  <c r="I272" i="2"/>
  <c r="J272" i="2" s="1"/>
  <c r="D106" i="7"/>
  <c r="F106" i="7" s="1"/>
  <c r="D273" i="2" l="1"/>
  <c r="C274" i="2"/>
  <c r="I273" i="2"/>
  <c r="J273" i="2" s="1"/>
  <c r="I106" i="7"/>
  <c r="B107" i="7"/>
  <c r="G106" i="7"/>
  <c r="H106" i="7" s="1"/>
  <c r="C107" i="7" s="1"/>
  <c r="D107" i="7" l="1"/>
  <c r="F107" i="7" s="1"/>
  <c r="C275" i="2"/>
  <c r="I274" i="2"/>
  <c r="J274" i="2" s="1"/>
  <c r="D274" i="2"/>
  <c r="I275" i="2" l="1"/>
  <c r="J275" i="2" s="1"/>
  <c r="D275" i="2"/>
  <c r="C276" i="2"/>
  <c r="B108" i="7"/>
  <c r="I107" i="7"/>
  <c r="G107" i="7"/>
  <c r="H107" i="7" s="1"/>
  <c r="C108" i="7" s="1"/>
  <c r="D108" i="7" l="1"/>
  <c r="F108" i="7" s="1"/>
  <c r="I276" i="2"/>
  <c r="J276" i="2" s="1"/>
  <c r="C277" i="2"/>
  <c r="D276" i="2"/>
  <c r="I277" i="2" l="1"/>
  <c r="J277" i="2" s="1"/>
  <c r="D277" i="2"/>
  <c r="C278" i="2"/>
  <c r="I108" i="7"/>
  <c r="B109" i="7"/>
  <c r="G108" i="7"/>
  <c r="H108" i="7" s="1"/>
  <c r="C109" i="7" s="1"/>
  <c r="D109" i="7" l="1"/>
  <c r="F109" i="7" s="1"/>
  <c r="D278" i="2"/>
  <c r="I278" i="2"/>
  <c r="J278" i="2" s="1"/>
  <c r="C279" i="2"/>
  <c r="C280" i="2" l="1"/>
  <c r="I279" i="2"/>
  <c r="J279" i="2" s="1"/>
  <c r="D279" i="2"/>
  <c r="I109" i="7"/>
  <c r="B110" i="7"/>
  <c r="G109" i="7"/>
  <c r="H109" i="7" s="1"/>
  <c r="C110" i="7" s="1"/>
  <c r="D110" i="7" l="1"/>
  <c r="F110" i="7" s="1"/>
  <c r="D280" i="2"/>
  <c r="C281" i="2"/>
  <c r="I280" i="2"/>
  <c r="J280" i="2" s="1"/>
  <c r="D281" i="2" l="1"/>
  <c r="I281" i="2"/>
  <c r="J281" i="2" s="1"/>
  <c r="C282" i="2"/>
  <c r="G110" i="7"/>
  <c r="H110" i="7" s="1"/>
  <c r="C111" i="7" s="1"/>
  <c r="I110" i="7"/>
  <c r="B111" i="7"/>
  <c r="D111" i="7" l="1"/>
  <c r="F111" i="7" s="1"/>
  <c r="I282" i="2"/>
  <c r="J282" i="2" s="1"/>
  <c r="C283" i="2"/>
  <c r="D282" i="2"/>
  <c r="C284" i="2" l="1"/>
  <c r="D283" i="2"/>
  <c r="I283" i="2"/>
  <c r="J283" i="2" s="1"/>
  <c r="I111" i="7"/>
  <c r="B112" i="7"/>
  <c r="G111" i="7"/>
  <c r="H111" i="7" s="1"/>
  <c r="C112" i="7" s="1"/>
  <c r="D112" i="7" l="1"/>
  <c r="F112" i="7" s="1"/>
  <c r="I284" i="2"/>
  <c r="J284" i="2" s="1"/>
  <c r="D284" i="2"/>
  <c r="G112" i="7" l="1"/>
  <c r="H112" i="7" s="1"/>
  <c r="C113" i="7" s="1"/>
  <c r="I112" i="7"/>
  <c r="B113" i="7"/>
  <c r="D113" i="7" s="1"/>
  <c r="F113" i="7" s="1"/>
  <c r="G113" i="7" l="1"/>
  <c r="H113" i="7" s="1"/>
  <c r="C114" i="7" s="1"/>
  <c r="B114" i="7"/>
  <c r="I113" i="7"/>
  <c r="D114" i="7" l="1"/>
  <c r="F114" i="7" s="1"/>
  <c r="G114" i="7"/>
  <c r="H114" i="7" s="1"/>
  <c r="C115" i="7" s="1"/>
  <c r="I114" i="7"/>
  <c r="B115" i="7"/>
  <c r="D115" i="7" l="1"/>
  <c r="F115" i="7" s="1"/>
  <c r="I115" i="7"/>
  <c r="G115" i="7"/>
  <c r="H115" i="7" s="1"/>
  <c r="C116" i="7" s="1"/>
  <c r="B116" i="7"/>
  <c r="D116" i="7" l="1"/>
  <c r="F116" i="7" s="1"/>
  <c r="B117" i="7" l="1"/>
  <c r="I116" i="7"/>
  <c r="G116" i="7"/>
  <c r="H116" i="7" s="1"/>
  <c r="C117" i="7" s="1"/>
  <c r="D117" i="7" l="1"/>
  <c r="F117" i="7" s="1"/>
  <c r="B118" i="7" l="1"/>
  <c r="G117" i="7"/>
  <c r="H117" i="7" s="1"/>
  <c r="C118" i="7" s="1"/>
  <c r="I117" i="7"/>
  <c r="D118" i="7" l="1"/>
  <c r="F118" i="7" s="1"/>
  <c r="I118" i="7" l="1"/>
  <c r="G118" i="7"/>
  <c r="H118" i="7" s="1"/>
  <c r="C119" i="7" s="1"/>
  <c r="B119" i="7"/>
  <c r="D119" i="7" l="1"/>
  <c r="F119" i="7" s="1"/>
  <c r="B120" i="7" l="1"/>
  <c r="I119" i="7"/>
  <c r="G119" i="7"/>
  <c r="H119" i="7" s="1"/>
  <c r="C120" i="7" s="1"/>
  <c r="D120" i="7" l="1"/>
  <c r="F120" i="7" s="1"/>
  <c r="G120" i="7" l="1"/>
  <c r="H120" i="7" s="1"/>
  <c r="C121" i="7" s="1"/>
  <c r="B121" i="7"/>
  <c r="I120" i="7"/>
  <c r="D121" i="7" l="1"/>
  <c r="F121" i="7" s="1"/>
  <c r="G121" i="7" l="1"/>
  <c r="H121" i="7" s="1"/>
  <c r="C122" i="7" s="1"/>
  <c r="I121" i="7"/>
  <c r="B122" i="7"/>
  <c r="D122" i="7" l="1"/>
  <c r="F122" i="7" s="1"/>
  <c r="I122" i="7" l="1"/>
  <c r="B123" i="7"/>
  <c r="G122" i="7"/>
  <c r="H122" i="7" s="1"/>
  <c r="C123" i="7" s="1"/>
  <c r="D123" i="7" l="1"/>
  <c r="F123" i="7" s="1"/>
  <c r="I123" i="7" l="1"/>
  <c r="B124" i="7"/>
  <c r="G123" i="7"/>
  <c r="H123" i="7" s="1"/>
  <c r="C124" i="7" s="1"/>
  <c r="D124" i="7" l="1"/>
  <c r="F124" i="7" s="1"/>
  <c r="I124" i="7" l="1"/>
  <c r="B125" i="7"/>
  <c r="G124" i="7"/>
  <c r="H124" i="7" s="1"/>
  <c r="C125" i="7" s="1"/>
  <c r="D125" i="7" l="1"/>
  <c r="F125" i="7" s="1"/>
  <c r="G125" i="7" l="1"/>
  <c r="H125" i="7" s="1"/>
  <c r="C126" i="7" s="1"/>
  <c r="I125" i="7"/>
  <c r="B126" i="7"/>
  <c r="D126" i="7" l="1"/>
  <c r="F126" i="7" s="1"/>
  <c r="G126" i="7"/>
  <c r="H126" i="7" s="1"/>
  <c r="C127" i="7" s="1"/>
  <c r="B127" i="7"/>
  <c r="I126" i="7"/>
  <c r="D127" i="7" l="1"/>
  <c r="F127" i="7" s="1"/>
  <c r="I127" i="7"/>
  <c r="B128" i="7"/>
  <c r="G127" i="7"/>
  <c r="H127" i="7" s="1"/>
  <c r="C128" i="7" s="1"/>
  <c r="D128" i="7" l="1"/>
  <c r="F128" i="7" s="1"/>
  <c r="B129" i="7" l="1"/>
  <c r="G128" i="7"/>
  <c r="H128" i="7" s="1"/>
  <c r="C129" i="7" s="1"/>
  <c r="I128" i="7"/>
  <c r="D129" i="7" l="1"/>
  <c r="F129" i="7" s="1"/>
  <c r="I129" i="7" l="1"/>
  <c r="G129" i="7"/>
  <c r="H129" i="7" s="1"/>
  <c r="C130" i="7" s="1"/>
  <c r="B130" i="7"/>
  <c r="D130" i="7" l="1"/>
  <c r="F130" i="7" s="1"/>
  <c r="I130" i="7" l="1"/>
  <c r="G130" i="7"/>
  <c r="H130" i="7" s="1"/>
  <c r="C131" i="7" s="1"/>
  <c r="B131" i="7"/>
  <c r="D131" i="7" l="1"/>
  <c r="F131" i="7" s="1"/>
  <c r="I131" i="7" l="1"/>
  <c r="B132" i="7"/>
  <c r="G131" i="7"/>
  <c r="H131" i="7" s="1"/>
  <c r="C132" i="7" s="1"/>
  <c r="D132" i="7" l="1"/>
  <c r="F132" i="7" s="1"/>
  <c r="B133" i="7" l="1"/>
  <c r="G132" i="7"/>
  <c r="H132" i="7" s="1"/>
  <c r="C133" i="7" s="1"/>
  <c r="I132" i="7"/>
  <c r="D133" i="7" l="1"/>
  <c r="F133" i="7" s="1"/>
  <c r="I133" i="7" l="1"/>
  <c r="G133" i="7"/>
  <c r="H133" i="7" s="1"/>
  <c r="C134" i="7" s="1"/>
  <c r="B134" i="7"/>
  <c r="D134" i="7" l="1"/>
  <c r="F134" i="7" s="1"/>
  <c r="I134" i="7" l="1"/>
  <c r="G134" i="7"/>
  <c r="H134" i="7" s="1"/>
  <c r="C135" i="7" s="1"/>
  <c r="B135" i="7"/>
  <c r="D135" i="7" l="1"/>
  <c r="F135" i="7" s="1"/>
  <c r="I135" i="7" l="1"/>
  <c r="G135" i="7"/>
  <c r="H135" i="7" s="1"/>
  <c r="C136" i="7" s="1"/>
  <c r="B136" i="7"/>
  <c r="D136" i="7" l="1"/>
  <c r="F136" i="7" s="1"/>
  <c r="I136" i="7" l="1"/>
  <c r="B137" i="7"/>
  <c r="G136" i="7"/>
  <c r="H136" i="7" s="1"/>
  <c r="C137" i="7" s="1"/>
  <c r="D137" i="7" l="1"/>
  <c r="F137" i="7" s="1"/>
  <c r="I137" i="7" l="1"/>
  <c r="B138" i="7"/>
  <c r="G137" i="7"/>
  <c r="H137" i="7" s="1"/>
  <c r="C138" i="7" s="1"/>
  <c r="D138" i="7" l="1"/>
  <c r="F138" i="7" s="1"/>
  <c r="I138" i="7" l="1"/>
  <c r="G138" i="7"/>
  <c r="H138" i="7" s="1"/>
  <c r="C139" i="7" s="1"/>
  <c r="B139" i="7"/>
  <c r="D139" i="7" l="1"/>
  <c r="F139" i="7" s="1"/>
  <c r="B140" i="7" l="1"/>
  <c r="I139" i="7"/>
  <c r="G139" i="7"/>
  <c r="H139" i="7" s="1"/>
  <c r="C140" i="7" s="1"/>
  <c r="D140" i="7" l="1"/>
  <c r="F140" i="7" s="1"/>
  <c r="B141" i="7" l="1"/>
  <c r="I140" i="7"/>
  <c r="G140" i="7"/>
  <c r="H140" i="7" s="1"/>
  <c r="C141" i="7" s="1"/>
  <c r="D141" i="7" l="1"/>
  <c r="F141" i="7" s="1"/>
  <c r="G141" i="7" l="1"/>
  <c r="H141" i="7" s="1"/>
  <c r="C142" i="7" s="1"/>
  <c r="I141" i="7"/>
  <c r="B142" i="7"/>
  <c r="D142" i="7" s="1"/>
  <c r="F142" i="7" s="1"/>
  <c r="B143" i="7" l="1"/>
  <c r="G142" i="7"/>
  <c r="H142" i="7" s="1"/>
  <c r="C143" i="7" s="1"/>
  <c r="I142" i="7"/>
  <c r="D143" i="7" l="1"/>
  <c r="F143" i="7" s="1"/>
  <c r="B144" i="7" l="1"/>
  <c r="G143" i="7"/>
  <c r="H143" i="7" s="1"/>
  <c r="C144" i="7" s="1"/>
  <c r="I143" i="7"/>
  <c r="D144" i="7" l="1"/>
  <c r="F144" i="7" s="1"/>
  <c r="I144" i="7" l="1"/>
  <c r="G144" i="7"/>
  <c r="H144" i="7" s="1"/>
  <c r="C145" i="7" s="1"/>
  <c r="B145" i="7"/>
  <c r="D145" i="7" l="1"/>
  <c r="F145" i="7" s="1"/>
  <c r="B146" i="7" l="1"/>
  <c r="I145" i="7"/>
  <c r="G145" i="7"/>
  <c r="H145" i="7" s="1"/>
  <c r="C146" i="7" s="1"/>
  <c r="D146" i="7" l="1"/>
  <c r="F146" i="7" s="1"/>
  <c r="G146" i="7" l="1"/>
  <c r="H146" i="7" s="1"/>
  <c r="C147" i="7" s="1"/>
  <c r="B147" i="7"/>
  <c r="I146" i="7"/>
  <c r="D147" i="7" l="1"/>
  <c r="F147" i="7" s="1"/>
  <c r="G147" i="7"/>
  <c r="H147" i="7" s="1"/>
  <c r="C148" i="7" s="1"/>
  <c r="B148" i="7"/>
  <c r="I147" i="7"/>
  <c r="D148" i="7" l="1"/>
  <c r="F148" i="7" s="1"/>
  <c r="I148" i="7" l="1"/>
  <c r="B149" i="7"/>
  <c r="G148" i="7"/>
  <c r="H148" i="7" s="1"/>
  <c r="C149" i="7" s="1"/>
  <c r="D149" i="7" l="1"/>
  <c r="F149" i="7" s="1"/>
  <c r="I149" i="7" l="1"/>
  <c r="B150" i="7"/>
  <c r="G149" i="7"/>
  <c r="H149" i="7" s="1"/>
  <c r="C150" i="7" s="1"/>
  <c r="D150" i="7" l="1"/>
  <c r="F150" i="7" s="1"/>
  <c r="G150" i="7" l="1"/>
  <c r="H150" i="7" s="1"/>
  <c r="C151" i="7" s="1"/>
  <c r="I150" i="7"/>
  <c r="B151" i="7"/>
  <c r="D151" i="7" s="1"/>
  <c r="F151" i="7" s="1"/>
  <c r="I151" i="7" l="1"/>
  <c r="B152" i="7"/>
  <c r="G151" i="7"/>
  <c r="H151" i="7" s="1"/>
  <c r="C152" i="7" s="1"/>
  <c r="D152" i="7" l="1"/>
  <c r="F152" i="7" s="1"/>
  <c r="I152" i="7" l="1"/>
  <c r="B153" i="7"/>
  <c r="G152" i="7"/>
  <c r="H152" i="7" s="1"/>
  <c r="C153" i="7" s="1"/>
  <c r="D153" i="7" l="1"/>
  <c r="F153" i="7" s="1"/>
  <c r="B154" i="7" l="1"/>
  <c r="I153" i="7"/>
  <c r="G153" i="7"/>
  <c r="H153" i="7" s="1"/>
  <c r="C154" i="7" s="1"/>
  <c r="D154" i="7" l="1"/>
  <c r="F154" i="7" s="1"/>
  <c r="G154" i="7" l="1"/>
  <c r="H154" i="7" s="1"/>
  <c r="C155" i="7" s="1"/>
  <c r="B155" i="7"/>
  <c r="I154" i="7"/>
  <c r="D155" i="7" l="1"/>
  <c r="F155" i="7" s="1"/>
  <c r="G155" i="7"/>
  <c r="H155" i="7" s="1"/>
  <c r="C156" i="7" s="1"/>
  <c r="B156" i="7"/>
  <c r="I155" i="7"/>
  <c r="D156" i="7" l="1"/>
  <c r="F156" i="7" s="1"/>
  <c r="G156" i="7" l="1"/>
  <c r="H156" i="7" s="1"/>
  <c r="C157" i="7" s="1"/>
  <c r="I156" i="7"/>
  <c r="B157" i="7"/>
  <c r="D157" i="7" s="1"/>
  <c r="F157" i="7" s="1"/>
  <c r="G157" i="7" l="1"/>
  <c r="H157" i="7" s="1"/>
  <c r="C158" i="7" s="1"/>
  <c r="B158" i="7"/>
  <c r="I157" i="7"/>
  <c r="D158" i="7" l="1"/>
  <c r="F158" i="7" s="1"/>
  <c r="G158" i="7"/>
  <c r="H158" i="7" s="1"/>
  <c r="C159" i="7" s="1"/>
  <c r="B159" i="7"/>
  <c r="I158" i="7"/>
  <c r="D159" i="7" l="1"/>
  <c r="F159" i="7" s="1"/>
  <c r="I159" i="7" l="1"/>
  <c r="B160" i="7"/>
  <c r="G159" i="7"/>
  <c r="H159" i="7" s="1"/>
  <c r="C160" i="7" s="1"/>
  <c r="D160" i="7" l="1"/>
  <c r="F160" i="7" s="1"/>
  <c r="I160" i="7" l="1"/>
  <c r="B161" i="7"/>
  <c r="G160" i="7"/>
  <c r="H160" i="7" s="1"/>
  <c r="C161" i="7" s="1"/>
  <c r="D161" i="7" l="1"/>
  <c r="F161" i="7" s="1"/>
  <c r="I161" i="7" l="1"/>
  <c r="B162" i="7"/>
  <c r="G161" i="7"/>
  <c r="H161" i="7" s="1"/>
  <c r="C162" i="7" s="1"/>
  <c r="D162" i="7" l="1"/>
  <c r="F162" i="7" s="1"/>
  <c r="G162" i="7" l="1"/>
  <c r="H162" i="7" s="1"/>
  <c r="C163" i="7" s="1"/>
  <c r="I162" i="7"/>
  <c r="B163" i="7"/>
  <c r="D163" i="7" s="1"/>
  <c r="F163" i="7" s="1"/>
  <c r="B164" i="7" l="1"/>
  <c r="G163" i="7"/>
  <c r="H163" i="7" s="1"/>
  <c r="C164" i="7" s="1"/>
  <c r="I163" i="7"/>
  <c r="D164" i="7" l="1"/>
  <c r="F164" i="7" s="1"/>
  <c r="I164" i="7" l="1"/>
  <c r="G164" i="7"/>
  <c r="H164" i="7" s="1"/>
  <c r="C165" i="7" s="1"/>
  <c r="B165" i="7"/>
  <c r="D165" i="7" l="1"/>
  <c r="F165" i="7" s="1"/>
  <c r="I165" i="7" l="1"/>
  <c r="G165" i="7"/>
  <c r="H165" i="7" s="1"/>
  <c r="C166" i="7" s="1"/>
  <c r="B166" i="7"/>
  <c r="D166" i="7" l="1"/>
  <c r="F166" i="7" s="1"/>
  <c r="B167" i="7" l="1"/>
  <c r="G166" i="7"/>
  <c r="H166" i="7" s="1"/>
  <c r="C167" i="7" s="1"/>
  <c r="I166" i="7"/>
  <c r="D167" i="7" l="1"/>
  <c r="F167" i="7" s="1"/>
  <c r="G167" i="7" l="1"/>
  <c r="H167" i="7" s="1"/>
  <c r="C168" i="7" s="1"/>
  <c r="I167" i="7"/>
  <c r="B168" i="7"/>
  <c r="D168" i="7" l="1"/>
  <c r="F168" i="7" s="1"/>
  <c r="B169" i="7" l="1"/>
  <c r="G168" i="7"/>
  <c r="H168" i="7" s="1"/>
  <c r="C169" i="7" s="1"/>
  <c r="I168" i="7"/>
  <c r="D169" i="7" l="1"/>
  <c r="F169" i="7" s="1"/>
  <c r="G169" i="7" l="1"/>
  <c r="H169" i="7" s="1"/>
  <c r="C170" i="7" s="1"/>
  <c r="I169" i="7"/>
  <c r="B170" i="7"/>
  <c r="D170" i="7" l="1"/>
  <c r="F170" i="7" s="1"/>
  <c r="B171" i="7"/>
  <c r="G170" i="7"/>
  <c r="H170" i="7" s="1"/>
  <c r="C171" i="7" s="1"/>
  <c r="I170" i="7"/>
  <c r="D171" i="7" l="1"/>
  <c r="F171" i="7" s="1"/>
  <c r="G171" i="7" l="1"/>
  <c r="H171" i="7" s="1"/>
  <c r="C172" i="7" s="1"/>
  <c r="B172" i="7"/>
  <c r="I171" i="7"/>
  <c r="D172" i="7" l="1"/>
  <c r="F172" i="7" s="1"/>
  <c r="B173" i="7" l="1"/>
  <c r="I172" i="7"/>
  <c r="G172" i="7"/>
  <c r="H172" i="7" s="1"/>
  <c r="C173" i="7" s="1"/>
  <c r="D173" i="7" l="1"/>
  <c r="F173" i="7" s="1"/>
  <c r="G173" i="7" l="1"/>
  <c r="H173" i="7" s="1"/>
  <c r="C174" i="7" s="1"/>
  <c r="B174" i="7"/>
  <c r="I173" i="7"/>
  <c r="D174" i="7" l="1"/>
  <c r="F174" i="7" s="1"/>
  <c r="B175" i="7" l="1"/>
  <c r="G174" i="7"/>
  <c r="H174" i="7" s="1"/>
  <c r="C175" i="7" s="1"/>
  <c r="I174" i="7"/>
  <c r="D175" i="7" l="1"/>
  <c r="F175" i="7" s="1"/>
  <c r="B176" i="7" l="1"/>
  <c r="G175" i="7"/>
  <c r="H175" i="7" s="1"/>
  <c r="C176" i="7" s="1"/>
  <c r="I175" i="7"/>
  <c r="D176" i="7" l="1"/>
  <c r="F176" i="7" s="1"/>
  <c r="B177" i="7" l="1"/>
  <c r="I176" i="7"/>
  <c r="G176" i="7"/>
  <c r="H176" i="7" s="1"/>
  <c r="C177" i="7" s="1"/>
  <c r="D177" i="7" l="1"/>
  <c r="F177" i="7" s="1"/>
  <c r="I177" i="7" l="1"/>
  <c r="G177" i="7"/>
  <c r="H177" i="7" s="1"/>
  <c r="C178" i="7" s="1"/>
  <c r="B178" i="7"/>
  <c r="D178" i="7" l="1"/>
  <c r="F178" i="7" s="1"/>
  <c r="I178" i="7" l="1"/>
  <c r="G178" i="7"/>
  <c r="H178" i="7" s="1"/>
  <c r="C179" i="7" s="1"/>
  <c r="B179" i="7"/>
  <c r="D179" i="7" l="1"/>
  <c r="F179" i="7" s="1"/>
  <c r="I179" i="7" l="1"/>
  <c r="G179" i="7"/>
  <c r="H179" i="7" s="1"/>
  <c r="C180" i="7" s="1"/>
  <c r="B180" i="7"/>
  <c r="D180" i="7" l="1"/>
  <c r="F180" i="7" s="1"/>
  <c r="I180" i="7" l="1"/>
  <c r="G180" i="7"/>
  <c r="H180" i="7" s="1"/>
  <c r="C181" i="7" s="1"/>
  <c r="B181" i="7"/>
  <c r="D181" i="7" l="1"/>
  <c r="F181" i="7" s="1"/>
  <c r="G181" i="7" l="1"/>
  <c r="H181" i="7" s="1"/>
  <c r="C182" i="7" s="1"/>
  <c r="B182" i="7"/>
  <c r="I181" i="7"/>
  <c r="D182" i="7" l="1"/>
  <c r="F182" i="7" s="1"/>
  <c r="G182" i="7" l="1"/>
  <c r="H182" i="7" s="1"/>
  <c r="C183" i="7" s="1"/>
  <c r="B183" i="7"/>
  <c r="I182" i="7"/>
  <c r="D183" i="7" l="1"/>
  <c r="F183" i="7" s="1"/>
  <c r="I183" i="7" l="1"/>
  <c r="B184" i="7"/>
  <c r="G183" i="7"/>
  <c r="H183" i="7" s="1"/>
  <c r="C184" i="7" s="1"/>
  <c r="D184" i="7" l="1"/>
  <c r="F184" i="7" s="1"/>
  <c r="G184" i="7" l="1"/>
  <c r="H184" i="7" s="1"/>
  <c r="C185" i="7" s="1"/>
  <c r="B185" i="7"/>
  <c r="I184" i="7"/>
  <c r="D185" i="7" l="1"/>
  <c r="F185" i="7" s="1"/>
  <c r="I185" i="7" s="1"/>
  <c r="B186" i="7" l="1"/>
  <c r="G185" i="7"/>
  <c r="H185" i="7" s="1"/>
  <c r="C186" i="7" s="1"/>
  <c r="D186" i="7" s="1"/>
  <c r="F186" i="7" s="1"/>
  <c r="I186" i="7" l="1"/>
  <c r="G186" i="7"/>
  <c r="H186" i="7" s="1"/>
  <c r="C187" i="7" s="1"/>
  <c r="B187" i="7"/>
  <c r="D187" i="7" l="1"/>
  <c r="F187" i="7" s="1"/>
  <c r="G187" i="7" l="1"/>
  <c r="H187" i="7" s="1"/>
  <c r="C188" i="7" s="1"/>
  <c r="I187" i="7"/>
  <c r="B188" i="7"/>
  <c r="D188" i="7" l="1"/>
  <c r="F188" i="7" s="1"/>
  <c r="G188" i="7" l="1"/>
  <c r="H188" i="7" s="1"/>
  <c r="C189" i="7" s="1"/>
  <c r="I188" i="7"/>
  <c r="B189" i="7"/>
  <c r="D189" i="7" s="1"/>
  <c r="F189" i="7" s="1"/>
  <c r="B190" i="7" l="1"/>
  <c r="G189" i="7"/>
  <c r="H189" i="7" s="1"/>
  <c r="C190" i="7" s="1"/>
  <c r="I189" i="7"/>
  <c r="D190" i="7" l="1"/>
  <c r="F190" i="7" s="1"/>
  <c r="I190" i="7" l="1"/>
  <c r="B191" i="7"/>
  <c r="G190" i="7"/>
  <c r="H190" i="7" s="1"/>
  <c r="C191" i="7" s="1"/>
  <c r="D191" i="7" l="1"/>
  <c r="F191" i="7" s="1"/>
  <c r="I191" i="7" l="1"/>
  <c r="B192" i="7"/>
  <c r="G191" i="7"/>
  <c r="H191" i="7" s="1"/>
  <c r="C192" i="7" s="1"/>
  <c r="D192" i="7" l="1"/>
  <c r="F192" i="7" s="1"/>
  <c r="B193" i="7" l="1"/>
  <c r="I192" i="7"/>
  <c r="G192" i="7"/>
  <c r="H192" i="7" s="1"/>
  <c r="C193" i="7" s="1"/>
  <c r="D193" i="7" l="1"/>
  <c r="F193" i="7" s="1"/>
  <c r="B194" i="7" l="1"/>
  <c r="G193" i="7"/>
  <c r="H193" i="7" s="1"/>
  <c r="C194" i="7" s="1"/>
  <c r="I193" i="7"/>
  <c r="D194" i="7" l="1"/>
  <c r="F194" i="7" s="1"/>
  <c r="I194" i="7" l="1"/>
  <c r="G194" i="7"/>
  <c r="H194" i="7" s="1"/>
  <c r="C195" i="7" s="1"/>
  <c r="B195" i="7"/>
  <c r="D195" i="7" l="1"/>
  <c r="F195" i="7" s="1"/>
  <c r="I195" i="7" l="1"/>
  <c r="B196" i="7"/>
  <c r="G195" i="7"/>
  <c r="H195" i="7" s="1"/>
  <c r="C196" i="7" s="1"/>
  <c r="D196" i="7" l="1"/>
  <c r="F196" i="7" s="1"/>
  <c r="I196" i="7" l="1"/>
  <c r="B197" i="7"/>
  <c r="G196" i="7"/>
  <c r="H196" i="7" s="1"/>
  <c r="C197" i="7" s="1"/>
  <c r="D197" i="7" l="1"/>
  <c r="F197" i="7" s="1"/>
  <c r="B198" i="7" l="1"/>
  <c r="I197" i="7"/>
  <c r="G197" i="7"/>
  <c r="H197" i="7" s="1"/>
  <c r="C198" i="7" s="1"/>
  <c r="D198" i="7" l="1"/>
  <c r="F198" i="7" s="1"/>
  <c r="B199" i="7" l="1"/>
  <c r="G198" i="7"/>
  <c r="H198" i="7" s="1"/>
  <c r="C199" i="7" s="1"/>
  <c r="I198" i="7"/>
  <c r="D199" i="7" l="1"/>
  <c r="F199" i="7" s="1"/>
  <c r="B200" i="7" l="1"/>
  <c r="G199" i="7"/>
  <c r="H199" i="7" s="1"/>
  <c r="C200" i="7" s="1"/>
  <c r="I199" i="7"/>
  <c r="D200" i="7" l="1"/>
  <c r="F200" i="7" s="1"/>
  <c r="B201" i="7" l="1"/>
  <c r="G200" i="7"/>
  <c r="H200" i="7" s="1"/>
  <c r="C201" i="7" s="1"/>
  <c r="I200" i="7"/>
  <c r="D201" i="7" l="1"/>
  <c r="F201" i="7" s="1"/>
  <c r="I201" i="7" l="1"/>
  <c r="G201" i="7"/>
  <c r="H201" i="7" s="1"/>
  <c r="C202" i="7" s="1"/>
  <c r="B202" i="7"/>
  <c r="D202" i="7" l="1"/>
  <c r="F202" i="7" s="1"/>
  <c r="B203" i="7" l="1"/>
  <c r="I202" i="7"/>
  <c r="G202" i="7"/>
  <c r="H202" i="7" s="1"/>
  <c r="C203" i="7" s="1"/>
  <c r="D203" i="7" l="1"/>
  <c r="F203" i="7" s="1"/>
  <c r="G203" i="7" l="1"/>
  <c r="H203" i="7" s="1"/>
  <c r="C204" i="7" s="1"/>
  <c r="I203" i="7"/>
  <c r="B204" i="7"/>
  <c r="D204" i="7" l="1"/>
  <c r="F204" i="7" s="1"/>
  <c r="B205" i="7" l="1"/>
  <c r="G204" i="7"/>
  <c r="H204" i="7" s="1"/>
  <c r="C205" i="7" s="1"/>
  <c r="I204" i="7"/>
  <c r="D205" i="7" l="1"/>
  <c r="F205" i="7" s="1"/>
  <c r="G205" i="7" l="1"/>
  <c r="H205" i="7" s="1"/>
  <c r="C206" i="7" s="1"/>
  <c r="I205" i="7"/>
  <c r="B206" i="7"/>
  <c r="D206" i="7" l="1"/>
  <c r="F206" i="7" s="1"/>
  <c r="B207" i="7" l="1"/>
  <c r="I206" i="7"/>
  <c r="G206" i="7"/>
  <c r="H206" i="7" s="1"/>
  <c r="C207" i="7" s="1"/>
  <c r="D207" i="7" l="1"/>
  <c r="F207" i="7" s="1"/>
  <c r="B208" i="7" l="1"/>
  <c r="G207" i="7"/>
  <c r="H207" i="7" s="1"/>
  <c r="C208" i="7" s="1"/>
  <c r="I207" i="7"/>
  <c r="D208" i="7" l="1"/>
  <c r="F208" i="7" s="1"/>
  <c r="B209" i="7"/>
  <c r="I208" i="7"/>
  <c r="G208" i="7"/>
  <c r="H208" i="7" s="1"/>
  <c r="C209" i="7" s="1"/>
  <c r="D209" i="7" l="1"/>
  <c r="F209" i="7" s="1"/>
  <c r="B210" i="7" s="1"/>
  <c r="I209" i="7" l="1"/>
  <c r="G209" i="7"/>
  <c r="H209" i="7" s="1"/>
  <c r="C210" i="7" s="1"/>
  <c r="D210" i="7" s="1"/>
  <c r="F210" i="7" s="1"/>
  <c r="G210" i="7" l="1"/>
  <c r="H210" i="7" s="1"/>
  <c r="C211" i="7" s="1"/>
  <c r="B211" i="7"/>
  <c r="I210" i="7"/>
  <c r="D211" i="7" l="1"/>
  <c r="F211" i="7" s="1"/>
  <c r="G211" i="7"/>
  <c r="H211" i="7" s="1"/>
  <c r="C212" i="7" s="1"/>
  <c r="I211" i="7"/>
  <c r="B212" i="7"/>
  <c r="D212" i="7" s="1"/>
  <c r="F212" i="7" s="1"/>
  <c r="I212" i="7" l="1"/>
  <c r="G212" i="7"/>
  <c r="H212" i="7" s="1"/>
  <c r="C213" i="7" s="1"/>
  <c r="B213" i="7"/>
  <c r="D213" i="7" l="1"/>
  <c r="F213" i="7" s="1"/>
  <c r="I213" i="7" s="1"/>
  <c r="G213" i="7" l="1"/>
  <c r="H213" i="7" s="1"/>
  <c r="C214" i="7" s="1"/>
  <c r="B214" i="7"/>
  <c r="D214" i="7" l="1"/>
  <c r="F214" i="7" s="1"/>
  <c r="B215" i="7"/>
  <c r="I214" i="7"/>
  <c r="G214" i="7"/>
  <c r="H214" i="7" s="1"/>
  <c r="C215" i="7" s="1"/>
  <c r="D215" i="7" l="1"/>
  <c r="F215" i="7" s="1"/>
  <c r="I215" i="7" l="1"/>
  <c r="G215" i="7"/>
  <c r="H215" i="7" s="1"/>
  <c r="C216" i="7" s="1"/>
  <c r="B216" i="7"/>
  <c r="D216" i="7" l="1"/>
  <c r="F216" i="7" s="1"/>
  <c r="B217" i="7" s="1"/>
  <c r="G216" i="7"/>
  <c r="H216" i="7" s="1"/>
  <c r="C217" i="7" s="1"/>
  <c r="I216" i="7"/>
  <c r="D217" i="7" l="1"/>
  <c r="F217" i="7" s="1"/>
  <c r="B218" i="7" l="1"/>
  <c r="G217" i="7"/>
  <c r="H217" i="7" s="1"/>
  <c r="C218" i="7" s="1"/>
  <c r="I217" i="7"/>
  <c r="D218" i="7" l="1"/>
  <c r="F218" i="7" s="1"/>
  <c r="I218" i="7" s="1"/>
  <c r="B219" i="7" l="1"/>
  <c r="G218" i="7"/>
  <c r="H218" i="7" s="1"/>
  <c r="C219" i="7" s="1"/>
  <c r="D219" i="7" s="1"/>
  <c r="F219" i="7" s="1"/>
  <c r="I219" i="7" l="1"/>
  <c r="G219" i="7"/>
  <c r="H219" i="7" s="1"/>
  <c r="C220" i="7" s="1"/>
  <c r="B220" i="7"/>
  <c r="D220" i="7" l="1"/>
  <c r="F220" i="7" s="1"/>
  <c r="B221" i="7" l="1"/>
  <c r="I220" i="7"/>
  <c r="G220" i="7"/>
  <c r="H220" i="7" s="1"/>
  <c r="C221" i="7" s="1"/>
  <c r="D221" i="7" l="1"/>
  <c r="F221" i="7" s="1"/>
  <c r="G221" i="7" l="1"/>
  <c r="H221" i="7" s="1"/>
  <c r="C222" i="7" s="1"/>
  <c r="B222" i="7"/>
  <c r="I221" i="7"/>
  <c r="D222" i="7" l="1"/>
  <c r="F222" i="7" s="1"/>
  <c r="B223" i="7" l="1"/>
  <c r="I222" i="7"/>
  <c r="G222" i="7"/>
  <c r="H222" i="7" s="1"/>
  <c r="C223" i="7" s="1"/>
  <c r="D223" i="7" l="1"/>
  <c r="F223" i="7" s="1"/>
  <c r="I223" i="7" l="1"/>
  <c r="G223" i="7"/>
  <c r="H223" i="7" s="1"/>
  <c r="C224" i="7" s="1"/>
  <c r="B224" i="7"/>
  <c r="D224" i="7" l="1"/>
  <c r="F224" i="7" s="1"/>
  <c r="B225" i="7" l="1"/>
  <c r="I224" i="7"/>
  <c r="G224" i="7"/>
  <c r="H224" i="7" s="1"/>
  <c r="C225" i="7" s="1"/>
  <c r="D225" i="7" l="1"/>
  <c r="F225" i="7" s="1"/>
  <c r="B226" i="7" l="1"/>
  <c r="I225" i="7"/>
  <c r="G225" i="7"/>
  <c r="H225" i="7" s="1"/>
  <c r="C226" i="7" s="1"/>
  <c r="D226" i="7" l="1"/>
  <c r="F226" i="7" s="1"/>
  <c r="B227" i="7" l="1"/>
  <c r="I226" i="7"/>
  <c r="G226" i="7"/>
  <c r="H226" i="7" s="1"/>
  <c r="C227" i="7" s="1"/>
  <c r="D227" i="7" l="1"/>
  <c r="F227" i="7" s="1"/>
  <c r="B228" i="7" l="1"/>
  <c r="I227" i="7"/>
  <c r="G227" i="7"/>
  <c r="H227" i="7" s="1"/>
  <c r="C228" i="7" s="1"/>
  <c r="D228" i="7" l="1"/>
  <c r="F228" i="7" s="1"/>
  <c r="B229" i="7" l="1"/>
  <c r="I228" i="7"/>
  <c r="G228" i="7"/>
  <c r="H228" i="7" s="1"/>
  <c r="C229" i="7" s="1"/>
  <c r="D229" i="7" l="1"/>
  <c r="F229" i="7" s="1"/>
  <c r="G229" i="7" l="1"/>
  <c r="H229" i="7" s="1"/>
  <c r="C230" i="7" s="1"/>
  <c r="B230" i="7"/>
  <c r="I229" i="7"/>
  <c r="D230" i="7" l="1"/>
  <c r="F230" i="7" s="1"/>
  <c r="B231" i="7" l="1"/>
  <c r="I230" i="7"/>
  <c r="G230" i="7"/>
  <c r="H230" i="7" s="1"/>
  <c r="C231" i="7" s="1"/>
  <c r="D231" i="7" l="1"/>
  <c r="F231" i="7" s="1"/>
  <c r="B232" i="7" l="1"/>
  <c r="G231" i="7"/>
  <c r="H231" i="7" s="1"/>
  <c r="C232" i="7" s="1"/>
  <c r="I231" i="7"/>
  <c r="D232" i="7" l="1"/>
  <c r="F232" i="7" s="1"/>
  <c r="G232" i="7" l="1"/>
  <c r="H232" i="7" s="1"/>
  <c r="C233" i="7" s="1"/>
  <c r="B233" i="7"/>
  <c r="I232" i="7"/>
  <c r="D233" i="7" l="1"/>
  <c r="F233" i="7" s="1"/>
  <c r="G233" i="7" l="1"/>
  <c r="H233" i="7" s="1"/>
  <c r="C234" i="7" s="1"/>
  <c r="B234" i="7"/>
  <c r="I233" i="7"/>
  <c r="D234" i="7" l="1"/>
  <c r="F234" i="7" s="1"/>
  <c r="I234" i="7" l="1"/>
  <c r="G234" i="7"/>
  <c r="H234" i="7" s="1"/>
  <c r="C235" i="7" s="1"/>
  <c r="B235" i="7"/>
  <c r="D235" i="7" l="1"/>
  <c r="F235" i="7" s="1"/>
  <c r="I235" i="7" l="1"/>
  <c r="G235" i="7"/>
  <c r="H235" i="7" s="1"/>
  <c r="C236" i="7" s="1"/>
  <c r="B236" i="7"/>
  <c r="D236" i="7" l="1"/>
  <c r="F236" i="7" s="1"/>
  <c r="I236" i="7" l="1"/>
  <c r="G236" i="7"/>
  <c r="H236" i="7" s="1"/>
  <c r="C237" i="7" s="1"/>
  <c r="B237" i="7"/>
  <c r="D237" i="7" l="1"/>
  <c r="F237" i="7" s="1"/>
  <c r="B238" i="7" l="1"/>
  <c r="G237" i="7"/>
  <c r="H237" i="7" s="1"/>
  <c r="C238" i="7" s="1"/>
  <c r="I237" i="7"/>
  <c r="D238" i="7" l="1"/>
  <c r="F238" i="7" s="1"/>
  <c r="B239" i="7" l="1"/>
  <c r="G238" i="7"/>
  <c r="H238" i="7" s="1"/>
  <c r="C239" i="7" s="1"/>
  <c r="I238" i="7"/>
  <c r="D239" i="7" l="1"/>
  <c r="F239" i="7" s="1"/>
  <c r="I239" i="7" l="1"/>
  <c r="G239" i="7"/>
  <c r="H239" i="7" s="1"/>
  <c r="C240" i="7" s="1"/>
  <c r="B240" i="7"/>
  <c r="D240" i="7" l="1"/>
  <c r="F240" i="7" s="1"/>
  <c r="G240" i="7" l="1"/>
  <c r="H240" i="7" s="1"/>
  <c r="C241" i="7" s="1"/>
  <c r="B241" i="7"/>
  <c r="I240" i="7"/>
  <c r="D241" i="7" l="1"/>
  <c r="F241" i="7" s="1"/>
  <c r="B242" i="7" l="1"/>
  <c r="G241" i="7"/>
  <c r="H241" i="7" s="1"/>
  <c r="C242" i="7" s="1"/>
  <c r="I241" i="7"/>
  <c r="D242" i="7" l="1"/>
  <c r="F242" i="7" s="1"/>
  <c r="G242" i="7" l="1"/>
  <c r="H242" i="7" s="1"/>
  <c r="C243" i="7" s="1"/>
  <c r="I242" i="7"/>
  <c r="B243" i="7"/>
  <c r="D243" i="7" l="1"/>
  <c r="F243" i="7" s="1"/>
  <c r="G243" i="7" l="1"/>
  <c r="H243" i="7" s="1"/>
  <c r="C244" i="7" s="1"/>
  <c r="B244" i="7"/>
  <c r="I243" i="7"/>
  <c r="D244" i="7" l="1"/>
  <c r="F244" i="7" s="1"/>
  <c r="I244" i="7" l="1"/>
  <c r="B245" i="7"/>
  <c r="G244" i="7"/>
  <c r="H244" i="7" s="1"/>
  <c r="C245" i="7" s="1"/>
  <c r="D245" i="7" l="1"/>
  <c r="F245" i="7" s="1"/>
  <c r="G245" i="7" l="1"/>
  <c r="H245" i="7" s="1"/>
  <c r="C246" i="7" s="1"/>
  <c r="B246" i="7"/>
  <c r="I245" i="7"/>
  <c r="D246" i="7" l="1"/>
  <c r="F246" i="7" s="1"/>
  <c r="B247" i="7" l="1"/>
  <c r="I246" i="7"/>
  <c r="G246" i="7"/>
  <c r="H246" i="7" s="1"/>
  <c r="C247" i="7" s="1"/>
  <c r="D247" i="7" l="1"/>
  <c r="F247" i="7" s="1"/>
  <c r="I247" i="7" l="1"/>
  <c r="B248" i="7"/>
  <c r="G247" i="7"/>
  <c r="H247" i="7" s="1"/>
  <c r="C248" i="7" s="1"/>
  <c r="D248" i="7" l="1"/>
  <c r="F248" i="7" s="1"/>
  <c r="B249" i="7" l="1"/>
  <c r="G248" i="7"/>
  <c r="H248" i="7" s="1"/>
  <c r="C249" i="7" s="1"/>
  <c r="I248" i="7"/>
  <c r="D249" i="7" l="1"/>
  <c r="F249" i="7" s="1"/>
  <c r="B250" i="7" l="1"/>
  <c r="G249" i="7"/>
  <c r="H249" i="7" s="1"/>
  <c r="C250" i="7" s="1"/>
  <c r="I249" i="7"/>
  <c r="D250" i="7" l="1"/>
  <c r="F250" i="7" s="1"/>
  <c r="B251" i="7" s="1"/>
  <c r="G250" i="7"/>
  <c r="H250" i="7" s="1"/>
  <c r="C251" i="7" s="1"/>
  <c r="I250" i="7"/>
  <c r="D251" i="7" l="1"/>
  <c r="F251" i="7" s="1"/>
  <c r="B252" i="7" l="1"/>
  <c r="G251" i="7"/>
  <c r="H251" i="7" s="1"/>
  <c r="C252" i="7" s="1"/>
  <c r="I251" i="7"/>
  <c r="D252" i="7" l="1"/>
  <c r="F252" i="7" s="1"/>
  <c r="G252" i="7" l="1"/>
  <c r="H252" i="7" s="1"/>
  <c r="C253" i="7" s="1"/>
  <c r="B253" i="7"/>
  <c r="I252" i="7"/>
  <c r="D253" i="7" l="1"/>
  <c r="F253" i="7" s="1"/>
  <c r="G253" i="7" l="1"/>
  <c r="H253" i="7" s="1"/>
  <c r="C254" i="7" s="1"/>
  <c r="B254" i="7"/>
  <c r="I253" i="7"/>
  <c r="D254" i="7" l="1"/>
  <c r="F254" i="7" s="1"/>
  <c r="G254" i="7"/>
  <c r="H254" i="7" s="1"/>
  <c r="C255" i="7" s="1"/>
  <c r="B255" i="7"/>
  <c r="I254" i="7"/>
  <c r="D255" i="7" l="1"/>
  <c r="F255" i="7" s="1"/>
  <c r="I255" i="7" l="1"/>
  <c r="B256" i="7"/>
  <c r="G255" i="7"/>
  <c r="H255" i="7" s="1"/>
  <c r="C256" i="7" s="1"/>
  <c r="D256" i="7" l="1"/>
  <c r="F256" i="7" s="1"/>
  <c r="I256" i="7" l="1"/>
  <c r="G256" i="7"/>
  <c r="H256" i="7" s="1"/>
  <c r="C257" i="7" s="1"/>
  <c r="B257" i="7"/>
  <c r="D257" i="7" l="1"/>
  <c r="F257" i="7" s="1"/>
  <c r="B258" i="7" l="1"/>
  <c r="I257" i="7"/>
  <c r="G257" i="7"/>
  <c r="H257" i="7" s="1"/>
  <c r="C258" i="7" s="1"/>
  <c r="D258" i="7" l="1"/>
  <c r="F258" i="7" s="1"/>
  <c r="B259" i="7" l="1"/>
  <c r="I258" i="7"/>
  <c r="G258" i="7"/>
  <c r="H258" i="7" s="1"/>
  <c r="C259" i="7" s="1"/>
  <c r="D259" i="7" l="1"/>
  <c r="F259" i="7" s="1"/>
  <c r="B260" i="7" l="1"/>
  <c r="I259" i="7"/>
  <c r="G259" i="7"/>
  <c r="H259" i="7" s="1"/>
  <c r="C260" i="7" s="1"/>
  <c r="D260" i="7" l="1"/>
  <c r="F260" i="7" s="1"/>
  <c r="I260" i="7" l="1"/>
  <c r="B261" i="7"/>
  <c r="G260" i="7"/>
  <c r="H260" i="7" s="1"/>
  <c r="C261" i="7" s="1"/>
  <c r="D261" i="7" l="1"/>
  <c r="F261" i="7" s="1"/>
  <c r="B262" i="7" l="1"/>
  <c r="I261" i="7"/>
  <c r="G261" i="7"/>
  <c r="H261" i="7" s="1"/>
  <c r="C262" i="7" s="1"/>
  <c r="D262" i="7" l="1"/>
  <c r="F262" i="7" s="1"/>
  <c r="I262" i="7" l="1"/>
  <c r="G262" i="7"/>
  <c r="H262" i="7" s="1"/>
  <c r="C263" i="7" s="1"/>
  <c r="B263" i="7"/>
  <c r="D263" i="7" l="1"/>
  <c r="F263" i="7" s="1"/>
  <c r="B264" i="7" l="1"/>
  <c r="G263" i="7"/>
  <c r="H263" i="7" s="1"/>
  <c r="C264" i="7" s="1"/>
  <c r="I263" i="7"/>
  <c r="D264" i="7" l="1"/>
  <c r="F264" i="7" s="1"/>
  <c r="B265" i="7" l="1"/>
  <c r="G264" i="7"/>
  <c r="H264" i="7" s="1"/>
  <c r="C265" i="7" s="1"/>
  <c r="I264" i="7"/>
  <c r="D265" i="7" l="1"/>
  <c r="F265" i="7" s="1"/>
  <c r="G265" i="7" l="1"/>
  <c r="H265" i="7" s="1"/>
  <c r="C266" i="7" s="1"/>
  <c r="I265" i="7"/>
  <c r="B266" i="7"/>
  <c r="D266" i="7" l="1"/>
  <c r="F266" i="7" s="1"/>
  <c r="I266" i="7" l="1"/>
  <c r="B267" i="7"/>
  <c r="G266" i="7"/>
  <c r="H266" i="7" s="1"/>
  <c r="C267" i="7" s="1"/>
  <c r="D267" i="7" l="1"/>
  <c r="F267" i="7" s="1"/>
  <c r="B268" i="7" l="1"/>
  <c r="G267" i="7"/>
  <c r="H267" i="7" s="1"/>
  <c r="C268" i="7" s="1"/>
  <c r="I267" i="7"/>
  <c r="D268" i="7" l="1"/>
  <c r="F268" i="7" s="1"/>
  <c r="I268" i="7" l="1"/>
  <c r="B269" i="7"/>
  <c r="G268" i="7"/>
  <c r="H268" i="7" s="1"/>
  <c r="C269" i="7" s="1"/>
  <c r="D269" i="7" l="1"/>
  <c r="F269" i="7" s="1"/>
  <c r="I269" i="7" l="1"/>
  <c r="G269" i="7"/>
  <c r="H269" i="7" s="1"/>
  <c r="C270" i="7" s="1"/>
  <c r="B270" i="7"/>
  <c r="D270" i="7" l="1"/>
  <c r="F270" i="7" s="1"/>
  <c r="I270" i="7" l="1"/>
  <c r="G270" i="7"/>
  <c r="H270" i="7" s="1"/>
  <c r="C271" i="7" s="1"/>
  <c r="B271" i="7"/>
  <c r="D271" i="7" l="1"/>
  <c r="F271" i="7" s="1"/>
  <c r="I271" i="7" l="1"/>
  <c r="B272" i="7"/>
  <c r="G271" i="7"/>
  <c r="H271" i="7" s="1"/>
  <c r="C272" i="7" s="1"/>
  <c r="D272" i="7" l="1"/>
  <c r="F272" i="7" s="1"/>
  <c r="B273" i="7" l="1"/>
  <c r="I272" i="7"/>
  <c r="G272" i="7"/>
  <c r="H272" i="7" s="1"/>
  <c r="C273" i="7" s="1"/>
  <c r="D273" i="7" l="1"/>
  <c r="F273" i="7" s="1"/>
  <c r="B274" i="7" l="1"/>
  <c r="G273" i="7"/>
  <c r="H273" i="7" s="1"/>
  <c r="C274" i="7" s="1"/>
  <c r="I273" i="7"/>
  <c r="D274" i="7" l="1"/>
  <c r="F274" i="7" s="1"/>
  <c r="I274" i="7" l="1"/>
  <c r="B275" i="7"/>
  <c r="G274" i="7"/>
  <c r="H274" i="7" s="1"/>
  <c r="C275" i="7" s="1"/>
  <c r="D275" i="7" l="1"/>
  <c r="F275" i="7" s="1"/>
  <c r="B276" i="7" l="1"/>
  <c r="G275" i="7"/>
  <c r="H275" i="7" s="1"/>
  <c r="C276" i="7" s="1"/>
  <c r="I275" i="7"/>
  <c r="D276" i="7" l="1"/>
  <c r="F276" i="7" s="1"/>
  <c r="G276" i="7" l="1"/>
  <c r="H276" i="7" s="1"/>
  <c r="C277" i="7" s="1"/>
  <c r="I276" i="7"/>
  <c r="B277" i="7"/>
  <c r="D277" i="7" l="1"/>
  <c r="F277" i="7" s="1"/>
  <c r="G277" i="7" l="1"/>
  <c r="H277" i="7" s="1"/>
  <c r="C278" i="7" s="1"/>
  <c r="I277" i="7"/>
  <c r="B278" i="7"/>
  <c r="D278" i="7" s="1"/>
  <c r="F278" i="7" s="1"/>
  <c r="G278" i="7" l="1"/>
  <c r="H278" i="7" s="1"/>
  <c r="C279" i="7" s="1"/>
  <c r="B279" i="7"/>
  <c r="I278" i="7"/>
  <c r="D279" i="7" l="1"/>
  <c r="F279" i="7" s="1"/>
  <c r="B280" i="7" l="1"/>
  <c r="G279" i="7"/>
  <c r="H279" i="7" s="1"/>
  <c r="C280" i="7" s="1"/>
  <c r="I279" i="7"/>
  <c r="D280" i="7" l="1"/>
  <c r="F280" i="7" s="1"/>
  <c r="B281" i="7" l="1"/>
  <c r="I280" i="7"/>
  <c r="G280" i="7"/>
  <c r="H280" i="7" s="1"/>
  <c r="C281" i="7" s="1"/>
  <c r="D281" i="7" l="1"/>
  <c r="F281" i="7" s="1"/>
  <c r="B282" i="7" l="1"/>
  <c r="I281" i="7"/>
  <c r="G281" i="7"/>
  <c r="H281" i="7" s="1"/>
  <c r="C282" i="7" s="1"/>
  <c r="D282" i="7" l="1"/>
  <c r="F282" i="7" s="1"/>
  <c r="G282" i="7" l="1"/>
  <c r="H282" i="7" s="1"/>
  <c r="C283" i="7" s="1"/>
  <c r="B283" i="7"/>
  <c r="I282" i="7"/>
  <c r="D283" i="7" l="1"/>
  <c r="F283" i="7" s="1"/>
  <c r="I283" i="7" l="1"/>
  <c r="G283" i="7"/>
  <c r="H283" i="7" s="1"/>
  <c r="C284" i="7" s="1"/>
  <c r="B284" i="7"/>
  <c r="D284" i="7" l="1"/>
  <c r="F284" i="7" s="1"/>
  <c r="I284" i="7" l="1"/>
  <c r="B285" i="7"/>
  <c r="G284" i="7"/>
  <c r="H284" i="7" s="1"/>
  <c r="C285" i="7" s="1"/>
  <c r="D285" i="7" l="1"/>
  <c r="F285" i="7" s="1"/>
  <c r="I285" i="7" l="1"/>
  <c r="G285" i="7"/>
  <c r="H285" i="7" s="1"/>
  <c r="C286" i="7" s="1"/>
  <c r="B286" i="7"/>
  <c r="D286" i="7" l="1"/>
  <c r="F286" i="7" s="1"/>
  <c r="G286" i="7" l="1"/>
  <c r="H286" i="7" s="1"/>
  <c r="C287" i="7" s="1"/>
  <c r="B287" i="7"/>
  <c r="I286" i="7"/>
  <c r="D287" i="7" l="1"/>
  <c r="F287" i="7" s="1"/>
  <c r="B288" i="7" l="1"/>
  <c r="I287" i="7"/>
  <c r="G287" i="7"/>
  <c r="H287" i="7" s="1"/>
  <c r="C288" i="7" s="1"/>
  <c r="D288" i="7" l="1"/>
  <c r="F288" i="7" s="1"/>
  <c r="B289" i="7" l="1"/>
  <c r="I288" i="7"/>
  <c r="G288" i="7"/>
  <c r="H288" i="7" s="1"/>
  <c r="C289" i="7" s="1"/>
  <c r="D289" i="7" l="1"/>
  <c r="F289" i="7" s="1"/>
  <c r="B290" i="7" l="1"/>
  <c r="G289" i="7"/>
  <c r="H289" i="7" s="1"/>
  <c r="C290" i="7" s="1"/>
  <c r="I289" i="7"/>
  <c r="D290" i="7" l="1"/>
  <c r="F290" i="7" s="1"/>
  <c r="I290" i="7" l="1"/>
  <c r="B291" i="7"/>
  <c r="G290" i="7"/>
  <c r="H290" i="7" s="1"/>
  <c r="C291" i="7" s="1"/>
  <c r="D291" i="7" l="1"/>
  <c r="F291" i="7" s="1"/>
  <c r="B292" i="7" l="1"/>
  <c r="I291" i="7"/>
  <c r="G291" i="7"/>
  <c r="H291" i="7" s="1"/>
  <c r="C292" i="7" s="1"/>
  <c r="D292" i="7" l="1"/>
  <c r="F292" i="7" s="1"/>
  <c r="G292" i="7" l="1"/>
  <c r="H292" i="7" s="1"/>
  <c r="C293" i="7" s="1"/>
  <c r="B293" i="7"/>
  <c r="I292" i="7"/>
  <c r="D293" i="7" l="1"/>
  <c r="F293" i="7" s="1"/>
  <c r="G293" i="7" l="1"/>
  <c r="H293" i="7" s="1"/>
  <c r="C294" i="7" s="1"/>
  <c r="B294" i="7"/>
  <c r="I293" i="7"/>
  <c r="D294" i="7" l="1"/>
  <c r="F294" i="7" s="1"/>
  <c r="I294" i="7" l="1"/>
  <c r="G294" i="7"/>
  <c r="H294" i="7" s="1"/>
  <c r="C295" i="7" s="1"/>
  <c r="B295" i="7"/>
  <c r="D295" i="7" l="1"/>
  <c r="F295" i="7" s="1"/>
  <c r="B296" i="7" l="1"/>
  <c r="I295" i="7"/>
  <c r="G295" i="7"/>
  <c r="H295" i="7" s="1"/>
  <c r="C296" i="7" s="1"/>
  <c r="D296" i="7" l="1"/>
  <c r="F296" i="7" s="1"/>
  <c r="B297" i="7" l="1"/>
  <c r="G296" i="7"/>
  <c r="H296" i="7" s="1"/>
  <c r="C297" i="7" s="1"/>
  <c r="I296" i="7"/>
  <c r="D297" i="7" l="1"/>
  <c r="F297" i="7" s="1"/>
  <c r="I297" i="7" l="1"/>
  <c r="B298" i="7"/>
  <c r="G297" i="7"/>
  <c r="H297" i="7" s="1"/>
  <c r="C298" i="7" s="1"/>
  <c r="D298" i="7" l="1"/>
  <c r="F298" i="7" s="1"/>
  <c r="G298" i="7" l="1"/>
  <c r="H298" i="7" s="1"/>
  <c r="C299" i="7" s="1"/>
  <c r="I298" i="7"/>
  <c r="B299" i="7"/>
  <c r="D299" i="7" l="1"/>
  <c r="F299" i="7" s="1"/>
  <c r="G299" i="7"/>
  <c r="H299" i="7" s="1"/>
  <c r="C300" i="7" s="1"/>
  <c r="B300" i="7"/>
  <c r="I299" i="7"/>
  <c r="D300" i="7" l="1"/>
  <c r="F300" i="7" s="1"/>
  <c r="I300" i="7" s="1"/>
  <c r="G300" i="7"/>
  <c r="H300" i="7" s="1"/>
  <c r="C301" i="7" s="1"/>
  <c r="B301" i="7"/>
  <c r="D301" i="7" l="1"/>
  <c r="F301" i="7" s="1"/>
  <c r="I301" i="7"/>
  <c r="G301" i="7"/>
  <c r="H301" i="7" s="1"/>
  <c r="C302" i="7" s="1"/>
  <c r="B302" i="7"/>
  <c r="D302" i="7" l="1"/>
  <c r="F302" i="7" s="1"/>
  <c r="G302" i="7"/>
  <c r="H302" i="7" s="1"/>
  <c r="C303" i="7" s="1"/>
  <c r="I302" i="7"/>
  <c r="B303" i="7"/>
  <c r="D303" i="7" l="1"/>
  <c r="F303" i="7" s="1"/>
  <c r="I303" i="7" s="1"/>
  <c r="G303" i="7" l="1"/>
  <c r="H303" i="7" s="1"/>
  <c r="C304" i="7" s="1"/>
  <c r="B304" i="7"/>
  <c r="D304" i="7"/>
  <c r="F304" i="7" s="1"/>
  <c r="B305" i="7" l="1"/>
  <c r="G304" i="7"/>
  <c r="H304" i="7" s="1"/>
  <c r="C305" i="7" s="1"/>
  <c r="I304" i="7"/>
  <c r="D305" i="7" l="1"/>
  <c r="F305" i="7" s="1"/>
  <c r="G305" i="7" l="1"/>
  <c r="H305" i="7" s="1"/>
  <c r="C306" i="7" s="1"/>
  <c r="I305" i="7"/>
  <c r="B306" i="7"/>
  <c r="D306" i="7" s="1"/>
  <c r="F306" i="7" s="1"/>
  <c r="B307" i="7" l="1"/>
  <c r="G306" i="7"/>
  <c r="H306" i="7" s="1"/>
  <c r="C307" i="7" s="1"/>
  <c r="I306" i="7"/>
  <c r="D307" i="7" l="1"/>
  <c r="F307" i="7" s="1"/>
  <c r="B308" i="7" l="1"/>
  <c r="I307" i="7"/>
  <c r="G307" i="7"/>
  <c r="H307" i="7" s="1"/>
  <c r="C308" i="7" s="1"/>
  <c r="D308" i="7" l="1"/>
  <c r="F308" i="7" s="1"/>
  <c r="I308" i="7" l="1"/>
  <c r="B309" i="7"/>
  <c r="G308" i="7"/>
  <c r="H308" i="7" s="1"/>
  <c r="C309" i="7" s="1"/>
  <c r="D309" i="7" l="1"/>
  <c r="F309" i="7" s="1"/>
  <c r="I309" i="7" l="1"/>
  <c r="G309" i="7"/>
  <c r="H309" i="7" s="1"/>
  <c r="C310" i="7" s="1"/>
  <c r="B310" i="7"/>
  <c r="D310" i="7" l="1"/>
  <c r="F310" i="7" s="1"/>
  <c r="G310" i="7" l="1"/>
  <c r="H310" i="7" s="1"/>
  <c r="C311" i="7" s="1"/>
  <c r="I310" i="7"/>
  <c r="B311" i="7"/>
  <c r="D311" i="7" l="1"/>
  <c r="F311" i="7" s="1"/>
  <c r="B312" i="7" l="1"/>
  <c r="G311" i="7"/>
  <c r="H311" i="7" s="1"/>
  <c r="C312" i="7" s="1"/>
  <c r="I311" i="7"/>
  <c r="D312" i="7" l="1"/>
  <c r="F312" i="7" s="1"/>
  <c r="I312" i="7" l="1"/>
  <c r="G312" i="7"/>
  <c r="H312" i="7" s="1"/>
  <c r="C313" i="7" s="1"/>
  <c r="B313" i="7"/>
  <c r="D313" i="7" l="1"/>
  <c r="F313" i="7" s="1"/>
  <c r="B314" i="7" l="1"/>
  <c r="G313" i="7"/>
  <c r="H313" i="7" s="1"/>
  <c r="C314" i="7" s="1"/>
  <c r="I313" i="7"/>
  <c r="D314" i="7" l="1"/>
  <c r="F314" i="7" s="1"/>
  <c r="I314" i="7" l="1"/>
  <c r="G314" i="7"/>
  <c r="H314" i="7" s="1"/>
  <c r="C315" i="7" s="1"/>
  <c r="B315" i="7"/>
  <c r="D315" i="7" l="1"/>
  <c r="F315" i="7" s="1"/>
  <c r="I315" i="7" l="1"/>
  <c r="G315" i="7"/>
  <c r="H315" i="7" s="1"/>
  <c r="C316" i="7" s="1"/>
  <c r="B316" i="7"/>
  <c r="D316" i="7" s="1"/>
  <c r="F316" i="7" s="1"/>
  <c r="I316" i="7" l="1"/>
  <c r="G316" i="7"/>
  <c r="H316" i="7" s="1"/>
  <c r="C317" i="7" s="1"/>
  <c r="B317" i="7"/>
  <c r="D317" i="7" l="1"/>
  <c r="F317" i="7" s="1"/>
  <c r="B318" i="7" l="1"/>
  <c r="I317" i="7"/>
  <c r="G317" i="7"/>
  <c r="H317" i="7" s="1"/>
  <c r="C318" i="7" s="1"/>
  <c r="D318" i="7" l="1"/>
  <c r="F318" i="7" s="1"/>
  <c r="B319" i="7" l="1"/>
  <c r="G318" i="7"/>
  <c r="H318" i="7" s="1"/>
  <c r="C319" i="7" s="1"/>
  <c r="I318" i="7"/>
  <c r="D319" i="7" l="1"/>
  <c r="F319" i="7" s="1"/>
  <c r="B320" i="7" l="1"/>
  <c r="I319" i="7"/>
  <c r="G319" i="7"/>
  <c r="H319" i="7" s="1"/>
  <c r="C320" i="7" s="1"/>
  <c r="D320" i="7" l="1"/>
  <c r="F320" i="7" s="1"/>
  <c r="B321" i="7" l="1"/>
  <c r="G320" i="7"/>
  <c r="H320" i="7" s="1"/>
  <c r="C321" i="7" s="1"/>
  <c r="I320" i="7"/>
  <c r="D321" i="7" l="1"/>
  <c r="F321" i="7" s="1"/>
  <c r="B322" i="7" l="1"/>
  <c r="G321" i="7"/>
  <c r="H321" i="7" s="1"/>
  <c r="C322" i="7" s="1"/>
  <c r="I321" i="7"/>
  <c r="D322" i="7" l="1"/>
  <c r="F322" i="7" s="1"/>
  <c r="B323" i="7" l="1"/>
  <c r="I322" i="7"/>
  <c r="G322" i="7"/>
  <c r="H322" i="7" s="1"/>
  <c r="C323" i="7" s="1"/>
  <c r="D323" i="7" l="1"/>
  <c r="F323" i="7" s="1"/>
  <c r="B324" i="7" l="1"/>
  <c r="I323" i="7"/>
  <c r="G323" i="7"/>
  <c r="H323" i="7" s="1"/>
  <c r="C324" i="7" s="1"/>
  <c r="D324" i="7" l="1"/>
  <c r="F324" i="7" s="1"/>
  <c r="G324" i="7" l="1"/>
  <c r="H324" i="7" s="1"/>
  <c r="C325" i="7" s="1"/>
  <c r="I324" i="7"/>
  <c r="B325" i="7"/>
  <c r="D325" i="7" s="1"/>
  <c r="F325" i="7" s="1"/>
  <c r="B326" i="7" l="1"/>
  <c r="G325" i="7"/>
  <c r="H325" i="7" s="1"/>
  <c r="C326" i="7" s="1"/>
  <c r="I325" i="7"/>
  <c r="D326" i="7" l="1"/>
  <c r="F326" i="7" s="1"/>
  <c r="B327" i="7" l="1"/>
  <c r="I326" i="7"/>
  <c r="G326" i="7"/>
  <c r="H326" i="7" s="1"/>
  <c r="C327" i="7" s="1"/>
  <c r="D327" i="7" l="1"/>
  <c r="F327" i="7" s="1"/>
  <c r="B328" i="7" l="1"/>
  <c r="I327" i="7"/>
  <c r="G327" i="7"/>
  <c r="H327" i="7" s="1"/>
  <c r="C328" i="7" s="1"/>
  <c r="D328" i="7" l="1"/>
  <c r="F328" i="7" s="1"/>
  <c r="I328" i="7" l="1"/>
  <c r="B329" i="7"/>
  <c r="G328" i="7"/>
  <c r="H328" i="7" s="1"/>
  <c r="C329" i="7" s="1"/>
  <c r="D329" i="7" l="1"/>
  <c r="F329" i="7" s="1"/>
  <c r="B330" i="7" l="1"/>
  <c r="I329" i="7"/>
  <c r="G329" i="7"/>
  <c r="H329" i="7" s="1"/>
  <c r="C330" i="7" s="1"/>
  <c r="D330" i="7" l="1"/>
  <c r="F330" i="7" s="1"/>
  <c r="B331" i="7" l="1"/>
  <c r="G330" i="7"/>
  <c r="H330" i="7" s="1"/>
  <c r="C331" i="7" s="1"/>
  <c r="I330" i="7"/>
  <c r="D331" i="7" l="1"/>
  <c r="F331" i="7" s="1"/>
  <c r="G331" i="7" l="1"/>
  <c r="H331" i="7" s="1"/>
  <c r="C332" i="7" s="1"/>
  <c r="B332" i="7"/>
  <c r="I331" i="7"/>
  <c r="D332" i="7" l="1"/>
  <c r="F332" i="7" s="1"/>
  <c r="I332" i="7" l="1"/>
  <c r="B333" i="7"/>
  <c r="G332" i="7"/>
  <c r="H332" i="7" s="1"/>
  <c r="C333" i="7" s="1"/>
  <c r="D333" i="7" l="1"/>
  <c r="F333" i="7" s="1"/>
  <c r="I333" i="7" l="1"/>
  <c r="B334" i="7"/>
  <c r="G333" i="7"/>
  <c r="H333" i="7" s="1"/>
  <c r="C334" i="7" s="1"/>
  <c r="D334" i="7" l="1"/>
  <c r="F334" i="7" s="1"/>
  <c r="I334" i="7" l="1"/>
  <c r="G334" i="7"/>
  <c r="H334" i="7" s="1"/>
  <c r="C335" i="7" s="1"/>
  <c r="B335" i="7"/>
  <c r="D335" i="7" l="1"/>
  <c r="F335" i="7" s="1"/>
  <c r="G335" i="7"/>
  <c r="H335" i="7" s="1"/>
  <c r="C336" i="7" s="1"/>
  <c r="B336" i="7"/>
  <c r="I335" i="7"/>
  <c r="D336" i="7" l="1"/>
  <c r="F336" i="7" s="1"/>
  <c r="I336" i="7" s="1"/>
  <c r="B337" i="7"/>
  <c r="G336" i="7"/>
  <c r="H336" i="7" s="1"/>
  <c r="C337" i="7" s="1"/>
  <c r="D337" i="7" l="1"/>
  <c r="F337" i="7" s="1"/>
  <c r="I337" i="7" l="1"/>
  <c r="G337" i="7"/>
  <c r="H337" i="7" s="1"/>
  <c r="C338" i="7" s="1"/>
  <c r="B338" i="7"/>
  <c r="D338" i="7" l="1"/>
  <c r="F338" i="7" s="1"/>
  <c r="B339" i="7" l="1"/>
  <c r="G338" i="7"/>
  <c r="H338" i="7" s="1"/>
  <c r="C339" i="7" s="1"/>
  <c r="I338" i="7"/>
  <c r="D339" i="7" l="1"/>
  <c r="F339" i="7" s="1"/>
  <c r="G339" i="7" l="1"/>
  <c r="H339" i="7" s="1"/>
  <c r="C340" i="7" s="1"/>
  <c r="B340" i="7"/>
  <c r="I339" i="7"/>
  <c r="D340" i="7" l="1"/>
  <c r="F340" i="7" s="1"/>
  <c r="G340" i="7" l="1"/>
  <c r="H340" i="7" s="1"/>
  <c r="C341" i="7" s="1"/>
  <c r="I340" i="7"/>
  <c r="B341" i="7"/>
  <c r="D341" i="7" l="1"/>
  <c r="F341" i="7" s="1"/>
  <c r="G341" i="7" l="1"/>
  <c r="H341" i="7" s="1"/>
  <c r="C342" i="7" s="1"/>
  <c r="I341" i="7"/>
  <c r="B342" i="7"/>
  <c r="D342" i="7" s="1"/>
  <c r="F342" i="7" s="1"/>
  <c r="G342" i="7" l="1"/>
  <c r="H342" i="7" s="1"/>
  <c r="C343" i="7" s="1"/>
  <c r="B343" i="7"/>
  <c r="I342" i="7"/>
  <c r="D343" i="7" l="1"/>
  <c r="F343" i="7" s="1"/>
  <c r="I343" i="7" l="1"/>
  <c r="B344" i="7"/>
  <c r="G343" i="7"/>
  <c r="H343" i="7" s="1"/>
  <c r="C344" i="7" s="1"/>
  <c r="D344" i="7" l="1"/>
  <c r="F344" i="7" s="1"/>
  <c r="I344" i="7" l="1"/>
  <c r="B345" i="7"/>
  <c r="G344" i="7"/>
  <c r="H344" i="7" s="1"/>
  <c r="C345" i="7" s="1"/>
  <c r="D345" i="7" l="1"/>
  <c r="F345" i="7" s="1"/>
  <c r="B346" i="7" l="1"/>
  <c r="I345" i="7"/>
  <c r="G345" i="7"/>
  <c r="H345" i="7" s="1"/>
  <c r="C346" i="7" s="1"/>
  <c r="D346" i="7" l="1"/>
  <c r="F346" i="7" s="1"/>
  <c r="I346" i="7" l="1"/>
  <c r="B347" i="7"/>
  <c r="G346" i="7"/>
  <c r="H346" i="7" s="1"/>
  <c r="C347" i="7" s="1"/>
  <c r="D347" i="7" l="1"/>
  <c r="F347" i="7" s="1"/>
  <c r="G347" i="7" l="1"/>
  <c r="H347" i="7" s="1"/>
  <c r="C348" i="7" s="1"/>
  <c r="B348" i="7"/>
  <c r="I347" i="7"/>
  <c r="D348" i="7" l="1"/>
  <c r="F348" i="7" s="1"/>
  <c r="I348" i="7" l="1"/>
  <c r="G348" i="7"/>
  <c r="H348" i="7" s="1"/>
  <c r="C349" i="7" s="1"/>
  <c r="B349" i="7"/>
  <c r="D349" i="7" l="1"/>
  <c r="F349" i="7" s="1"/>
  <c r="I349" i="7" l="1"/>
  <c r="G349" i="7"/>
  <c r="H349" i="7" s="1"/>
  <c r="C350" i="7" s="1"/>
  <c r="B350" i="7"/>
  <c r="D350" i="7" l="1"/>
  <c r="F350" i="7" s="1"/>
  <c r="G350" i="7" l="1"/>
  <c r="H350" i="7" s="1"/>
  <c r="C351" i="7" s="1"/>
  <c r="B351" i="7"/>
  <c r="I350" i="7"/>
  <c r="D351" i="7" l="1"/>
  <c r="F351" i="7" s="1"/>
  <c r="I351" i="7" l="1"/>
  <c r="B352" i="7"/>
  <c r="G351" i="7"/>
  <c r="H351" i="7" s="1"/>
  <c r="C352" i="7" s="1"/>
  <c r="D352" i="7" l="1"/>
  <c r="F352" i="7" s="1"/>
  <c r="G352" i="7" l="1"/>
  <c r="H352" i="7" s="1"/>
  <c r="C353" i="7" s="1"/>
  <c r="B353" i="7"/>
  <c r="I352" i="7"/>
  <c r="D353" i="7" l="1"/>
  <c r="F353" i="7" s="1"/>
  <c r="B354" i="7"/>
  <c r="G353" i="7"/>
  <c r="H353" i="7" s="1"/>
  <c r="C354" i="7" s="1"/>
  <c r="I353" i="7"/>
  <c r="D354" i="7" l="1"/>
  <c r="F354" i="7" s="1"/>
  <c r="B355" i="7" l="1"/>
  <c r="G354" i="7"/>
  <c r="H354" i="7" s="1"/>
  <c r="C355" i="7" s="1"/>
  <c r="I354" i="7"/>
  <c r="D355" i="7" l="1"/>
  <c r="F355" i="7" s="1"/>
  <c r="G355" i="7" l="1"/>
  <c r="H355" i="7" s="1"/>
  <c r="C356" i="7" s="1"/>
  <c r="I355" i="7"/>
  <c r="B356" i="7"/>
  <c r="D356" i="7" l="1"/>
  <c r="F356" i="7" s="1"/>
  <c r="G356" i="7" l="1"/>
  <c r="H356" i="7" s="1"/>
  <c r="C357" i="7" s="1"/>
  <c r="B357" i="7"/>
  <c r="I356" i="7"/>
  <c r="D357" i="7" l="1"/>
  <c r="F357" i="7" s="1"/>
  <c r="G357" i="7" l="1"/>
  <c r="H357" i="7" s="1"/>
  <c r="C358" i="7" s="1"/>
  <c r="I357" i="7"/>
  <c r="B358" i="7"/>
  <c r="D358" i="7" l="1"/>
  <c r="F358" i="7" s="1"/>
  <c r="B359" i="7" l="1"/>
  <c r="I358" i="7"/>
  <c r="G358" i="7"/>
  <c r="H358" i="7" s="1"/>
  <c r="C359" i="7" s="1"/>
  <c r="D359" i="7" l="1"/>
  <c r="F359" i="7" s="1"/>
  <c r="B360" i="7" l="1"/>
  <c r="I359" i="7"/>
  <c r="G359" i="7"/>
  <c r="H359" i="7" s="1"/>
  <c r="C360" i="7" s="1"/>
  <c r="D360" i="7" l="1"/>
  <c r="F360" i="7" s="1"/>
  <c r="I360" i="7" l="1"/>
  <c r="B361" i="7"/>
  <c r="G360" i="7"/>
  <c r="H360" i="7" s="1"/>
  <c r="C361" i="7" s="1"/>
  <c r="D361" i="7" l="1"/>
  <c r="F361" i="7" s="1"/>
  <c r="I361" i="7" l="1"/>
  <c r="G361" i="7"/>
  <c r="H361" i="7" s="1"/>
  <c r="C362" i="7" s="1"/>
  <c r="B362" i="7"/>
  <c r="D362" i="7" l="1"/>
  <c r="F362" i="7" s="1"/>
  <c r="I362" i="7" l="1"/>
  <c r="G362" i="7"/>
  <c r="H362" i="7" s="1"/>
  <c r="C363" i="7" s="1"/>
  <c r="B363" i="7"/>
  <c r="D363" i="7" l="1"/>
  <c r="F363" i="7" s="1"/>
  <c r="I363" i="7" l="1"/>
  <c r="B364" i="7"/>
  <c r="G363" i="7"/>
  <c r="H363" i="7" s="1"/>
  <c r="C364" i="7" s="1"/>
  <c r="D364" i="7" l="1"/>
  <c r="F364" i="7" s="1"/>
  <c r="I364" i="7" l="1"/>
  <c r="G364" i="7"/>
  <c r="H364" i="7" s="1"/>
  <c r="C365" i="7" s="1"/>
  <c r="B365" i="7"/>
  <c r="D365" i="7" l="1"/>
  <c r="F365" i="7" s="1"/>
  <c r="B366" i="7"/>
  <c r="I365" i="7"/>
  <c r="G365" i="7"/>
  <c r="H365" i="7" s="1"/>
  <c r="C366" i="7" s="1"/>
  <c r="D366" i="7" l="1"/>
  <c r="F366" i="7" s="1"/>
  <c r="I366" i="7" l="1"/>
  <c r="B367" i="7"/>
  <c r="G366" i="7"/>
  <c r="H366" i="7" s="1"/>
  <c r="C367" i="7" s="1"/>
  <c r="D367" i="7" l="1"/>
  <c r="F367" i="7" s="1"/>
  <c r="B368" i="7" l="1"/>
  <c r="G367" i="7"/>
  <c r="H367" i="7" s="1"/>
  <c r="C368" i="7" s="1"/>
  <c r="I367" i="7"/>
  <c r="D368" i="7" l="1"/>
  <c r="F368" i="7" s="1"/>
  <c r="B369" i="7" l="1"/>
  <c r="I368" i="7"/>
  <c r="G368" i="7"/>
  <c r="H368" i="7" s="1"/>
  <c r="C369" i="7" s="1"/>
  <c r="D369" i="7" l="1"/>
  <c r="F369" i="7" s="1"/>
  <c r="I369" i="7" l="1"/>
  <c r="B370" i="7"/>
  <c r="G369" i="7"/>
  <c r="H369" i="7" s="1"/>
  <c r="C370" i="7" s="1"/>
  <c r="D370" i="7" l="1"/>
  <c r="F370" i="7" s="1"/>
  <c r="I370" i="7" l="1"/>
  <c r="G370" i="7"/>
  <c r="H370" i="7" s="1"/>
  <c r="C371" i="7" s="1"/>
  <c r="B371" i="7"/>
  <c r="D371" i="7" l="1"/>
  <c r="F371" i="7" s="1"/>
  <c r="I371" i="7" l="1"/>
  <c r="G371" i="7"/>
  <c r="H371" i="7" s="1"/>
  <c r="C372" i="7" s="1"/>
  <c r="B372" i="7"/>
  <c r="D372" i="7" l="1"/>
  <c r="F372" i="7" s="1"/>
  <c r="B373" i="7" l="1"/>
  <c r="I372" i="7"/>
  <c r="G372" i="7"/>
  <c r="H372" i="7" s="1"/>
  <c r="C373" i="7" s="1"/>
  <c r="D373" i="7" l="1"/>
  <c r="F373" i="7" s="1"/>
  <c r="B374" i="7" l="1"/>
  <c r="I373" i="7"/>
  <c r="G373" i="7"/>
  <c r="H373" i="7" s="1"/>
  <c r="C374" i="7" s="1"/>
  <c r="D374" i="7" l="1"/>
  <c r="F374" i="7" s="1"/>
  <c r="I374" i="7" l="1"/>
  <c r="B375" i="7"/>
  <c r="G374" i="7"/>
  <c r="H374" i="7" s="1"/>
  <c r="C375" i="7" s="1"/>
  <c r="D375" i="7" l="1"/>
  <c r="F375" i="7" s="1"/>
  <c r="B376" i="7" l="1"/>
  <c r="G375" i="7"/>
  <c r="H375" i="7" s="1"/>
  <c r="C376" i="7" s="1"/>
  <c r="I375" i="7"/>
  <c r="D376" i="7" l="1"/>
  <c r="F376" i="7" s="1"/>
  <c r="B377" i="7" l="1"/>
  <c r="G376" i="7"/>
  <c r="H376" i="7" s="1"/>
  <c r="C377" i="7" s="1"/>
  <c r="I376" i="7"/>
  <c r="D377" i="7" l="1"/>
  <c r="F377" i="7" s="1"/>
  <c r="G377" i="7" l="1"/>
  <c r="H377" i="7" s="1"/>
  <c r="C378" i="7" s="1"/>
  <c r="B378" i="7"/>
  <c r="I377" i="7"/>
  <c r="D378" i="7" l="1"/>
  <c r="F378" i="7" s="1"/>
  <c r="B379" i="7" l="1"/>
  <c r="I378" i="7"/>
  <c r="G378" i="7"/>
  <c r="H378" i="7" s="1"/>
  <c r="C379" i="7" s="1"/>
  <c r="D379" i="7" l="1"/>
  <c r="F379" i="7" s="1"/>
  <c r="B380" i="7" l="1"/>
  <c r="G379" i="7"/>
  <c r="H379" i="7" s="1"/>
  <c r="C380" i="7" s="1"/>
  <c r="I379" i="7"/>
  <c r="D380" i="7" l="1"/>
  <c r="F380" i="7" s="1"/>
  <c r="B381" i="7" l="1"/>
  <c r="G380" i="7"/>
  <c r="H380" i="7" s="1"/>
  <c r="C381" i="7" s="1"/>
  <c r="I380" i="7"/>
  <c r="D381" i="7" l="1"/>
  <c r="F381" i="7" s="1"/>
  <c r="G381" i="7" l="1"/>
  <c r="H381" i="7" s="1"/>
  <c r="C382" i="7" s="1"/>
  <c r="B382" i="7"/>
  <c r="I381" i="7"/>
  <c r="D382" i="7" l="1"/>
  <c r="F382" i="7" s="1"/>
  <c r="G382" i="7" l="1"/>
  <c r="H382" i="7" s="1"/>
  <c r="C383" i="7" s="1"/>
  <c r="I382" i="7"/>
  <c r="B383" i="7"/>
  <c r="D383" i="7" l="1"/>
  <c r="F383" i="7" s="1"/>
  <c r="B384" i="7" l="1"/>
  <c r="G383" i="7"/>
  <c r="H383" i="7" s="1"/>
  <c r="C384" i="7" s="1"/>
  <c r="I383" i="7"/>
  <c r="D384" i="7" l="1"/>
  <c r="F384" i="7" s="1"/>
  <c r="G384" i="7" l="1"/>
  <c r="H384" i="7" s="1"/>
  <c r="C385" i="7" s="1"/>
  <c r="B385" i="7"/>
  <c r="I384" i="7"/>
  <c r="D385" i="7" l="1"/>
  <c r="F385" i="7" s="1"/>
  <c r="G385" i="7" l="1"/>
  <c r="H385" i="7" s="1"/>
  <c r="C386" i="7" s="1"/>
  <c r="I385" i="7"/>
  <c r="B386" i="7"/>
  <c r="D386" i="7" l="1"/>
  <c r="F386" i="7" s="1"/>
  <c r="B387" i="7" s="1"/>
  <c r="I386" i="7" l="1"/>
  <c r="G386" i="7"/>
  <c r="H386" i="7" s="1"/>
  <c r="C387" i="7" s="1"/>
  <c r="D387" i="7" s="1"/>
  <c r="F387" i="7" s="1"/>
  <c r="I387" i="7" l="1"/>
  <c r="G387" i="7"/>
  <c r="H387" i="7" s="1"/>
  <c r="C388" i="7" s="1"/>
  <c r="B388" i="7"/>
  <c r="D388" i="7" l="1"/>
  <c r="F388" i="7" s="1"/>
  <c r="B389" i="7" l="1"/>
  <c r="I388" i="7"/>
  <c r="G388" i="7"/>
  <c r="H388" i="7" s="1"/>
  <c r="C389" i="7" s="1"/>
  <c r="D389" i="7" l="1"/>
  <c r="F389" i="7" s="1"/>
  <c r="G389" i="7" l="1"/>
  <c r="H389" i="7" s="1"/>
  <c r="C390" i="7" s="1"/>
  <c r="B390" i="7"/>
  <c r="I389" i="7"/>
  <c r="D390" i="7" l="1"/>
  <c r="F390" i="7" s="1"/>
  <c r="G390" i="7" l="1"/>
  <c r="H390" i="7" s="1"/>
  <c r="C391" i="7" s="1"/>
  <c r="I390" i="7"/>
  <c r="B391" i="7"/>
  <c r="D391" i="7" l="1"/>
  <c r="F391" i="7" s="1"/>
  <c r="I391" i="7"/>
  <c r="G391" i="7"/>
  <c r="H391" i="7" s="1"/>
  <c r="C392" i="7" s="1"/>
  <c r="B392" i="7"/>
  <c r="D392" i="7" l="1"/>
  <c r="F392" i="7" s="1"/>
  <c r="G392" i="7" l="1"/>
  <c r="H392" i="7" s="1"/>
  <c r="C393" i="7" s="1"/>
  <c r="I392" i="7"/>
  <c r="B393" i="7"/>
  <c r="D393" i="7" s="1"/>
  <c r="F393" i="7" s="1"/>
  <c r="G393" i="7" l="1"/>
  <c r="H393" i="7" s="1"/>
  <c r="C394" i="7" s="1"/>
  <c r="B394" i="7"/>
  <c r="I393" i="7"/>
  <c r="D394" i="7" l="1"/>
  <c r="F394" i="7" s="1"/>
  <c r="B395" i="7" s="1"/>
  <c r="G394" i="7"/>
  <c r="H394" i="7" s="1"/>
  <c r="C395" i="7" s="1"/>
  <c r="D395" i="7" l="1"/>
  <c r="F395" i="7" s="1"/>
  <c r="I394" i="7"/>
  <c r="B396" i="7"/>
  <c r="G395" i="7"/>
  <c r="H395" i="7" s="1"/>
  <c r="C396" i="7" s="1"/>
  <c r="I395" i="7"/>
  <c r="D396" i="7" l="1"/>
  <c r="F396" i="7" s="1"/>
  <c r="G396" i="7" l="1"/>
  <c r="H396" i="7" s="1"/>
  <c r="C397" i="7" s="1"/>
  <c r="I396" i="7"/>
  <c r="B397" i="7"/>
  <c r="D397" i="7" l="1"/>
  <c r="F397" i="7" s="1"/>
  <c r="I397" i="7" s="1"/>
  <c r="B398" i="7" l="1"/>
  <c r="G397" i="7"/>
  <c r="H397" i="7" s="1"/>
  <c r="C398" i="7" s="1"/>
  <c r="D398" i="7" s="1"/>
  <c r="F398" i="7" s="1"/>
  <c r="I398" i="7" l="1"/>
  <c r="B399" i="7"/>
  <c r="G398" i="7"/>
  <c r="H398" i="7" s="1"/>
  <c r="C399" i="7" s="1"/>
  <c r="D399" i="7" l="1"/>
  <c r="F399" i="7" s="1"/>
  <c r="I399" i="7" l="1"/>
  <c r="B400" i="7"/>
  <c r="G399" i="7"/>
  <c r="H399" i="7" s="1"/>
  <c r="C400" i="7" s="1"/>
  <c r="D400" i="7" l="1"/>
  <c r="F400" i="7" s="1"/>
  <c r="G400" i="7" l="1"/>
  <c r="H400" i="7" s="1"/>
  <c r="C401" i="7" s="1"/>
  <c r="B401" i="7"/>
  <c r="I400" i="7"/>
  <c r="D401" i="7" l="1"/>
  <c r="F401" i="7" s="1"/>
  <c r="B402" i="7" s="1"/>
  <c r="I401" i="7"/>
  <c r="G401" i="7" l="1"/>
  <c r="H401" i="7" s="1"/>
  <c r="C402" i="7" s="1"/>
  <c r="D402" i="7" s="1"/>
  <c r="F402" i="7" s="1"/>
  <c r="G402" i="7" l="1"/>
  <c r="H402" i="7" s="1"/>
  <c r="C403" i="7" s="1"/>
  <c r="I402" i="7"/>
  <c r="B403" i="7"/>
  <c r="D403" i="7" l="1"/>
  <c r="F403" i="7" s="1"/>
  <c r="I403" i="7"/>
  <c r="B404" i="7"/>
  <c r="G403" i="7"/>
  <c r="H403" i="7" s="1"/>
  <c r="C404" i="7" s="1"/>
  <c r="D404" i="7" l="1"/>
  <c r="F404" i="7" s="1"/>
  <c r="G404" i="7" l="1"/>
  <c r="H404" i="7" s="1"/>
  <c r="C405" i="7" s="1"/>
  <c r="I404" i="7"/>
  <c r="B405" i="7"/>
  <c r="D405" i="7" s="1"/>
  <c r="F405" i="7" s="1"/>
  <c r="I405" i="7" l="1"/>
  <c r="B406" i="7"/>
  <c r="G405" i="7"/>
  <c r="H405" i="7" s="1"/>
  <c r="C406" i="7" s="1"/>
  <c r="D406" i="7" l="1"/>
  <c r="F406" i="7" s="1"/>
  <c r="G406" i="7" l="1"/>
  <c r="H406" i="7" s="1"/>
  <c r="C407" i="7" s="1"/>
  <c r="I406" i="7"/>
  <c r="B407" i="7"/>
  <c r="D407" i="7" l="1"/>
  <c r="F407" i="7" s="1"/>
  <c r="G407" i="7"/>
  <c r="H407" i="7" s="1"/>
  <c r="C408" i="7" s="1"/>
  <c r="B408" i="7"/>
  <c r="I407" i="7"/>
  <c r="D408" i="7" l="1"/>
  <c r="F408" i="7" s="1"/>
  <c r="G408" i="7" s="1"/>
  <c r="H408" i="7" s="1"/>
  <c r="C409" i="7" s="1"/>
  <c r="I408" i="7"/>
  <c r="B409" i="7"/>
  <c r="D409" i="7" l="1"/>
  <c r="F409" i="7" s="1"/>
  <c r="G409" i="7" s="1"/>
  <c r="H409" i="7" s="1"/>
  <c r="C410" i="7" s="1"/>
  <c r="I409" i="7"/>
  <c r="B410" i="7"/>
  <c r="D410" i="7" l="1"/>
  <c r="F410" i="7" s="1"/>
  <c r="I410" i="7"/>
  <c r="B411" i="7"/>
  <c r="G410" i="7"/>
  <c r="H410" i="7" s="1"/>
  <c r="C411" i="7" s="1"/>
  <c r="D411" i="7" l="1"/>
  <c r="F411" i="7" s="1"/>
  <c r="I411" i="7" l="1"/>
  <c r="B412" i="7"/>
  <c r="G411" i="7"/>
  <c r="H411" i="7" s="1"/>
  <c r="C412" i="7" s="1"/>
  <c r="D412" i="7" l="1"/>
  <c r="F412" i="7" s="1"/>
  <c r="G412" i="7" l="1"/>
  <c r="H412" i="7" s="1"/>
  <c r="C413" i="7" s="1"/>
  <c r="I412" i="7"/>
  <c r="B413" i="7"/>
  <c r="D413" i="7" l="1"/>
  <c r="F413" i="7" s="1"/>
  <c r="I413" i="7" l="1"/>
  <c r="G413" i="7"/>
  <c r="H413" i="7" s="1"/>
  <c r="C414" i="7" s="1"/>
  <c r="B414" i="7"/>
  <c r="D414" i="7" l="1"/>
  <c r="F414" i="7" s="1"/>
  <c r="G414" i="7" l="1"/>
  <c r="H414" i="7" s="1"/>
  <c r="C415" i="7" s="1"/>
  <c r="B415" i="7"/>
  <c r="I414" i="7"/>
  <c r="D415" i="7" l="1"/>
  <c r="F415" i="7" s="1"/>
  <c r="G415" i="7"/>
  <c r="H415" i="7" s="1"/>
  <c r="C416" i="7" s="1"/>
  <c r="B416" i="7"/>
  <c r="I415" i="7"/>
  <c r="D416" i="7" l="1"/>
  <c r="F416" i="7" s="1"/>
  <c r="I416" i="7" l="1"/>
  <c r="G416" i="7"/>
  <c r="H416" i="7" s="1"/>
  <c r="C417" i="7" s="1"/>
  <c r="B417" i="7"/>
  <c r="D417" i="7" l="1"/>
  <c r="F417" i="7" s="1"/>
  <c r="I417" i="7" s="1"/>
  <c r="B418" i="7"/>
  <c r="G417" i="7" l="1"/>
  <c r="H417" i="7" s="1"/>
  <c r="C418" i="7" s="1"/>
  <c r="D418" i="7" s="1"/>
  <c r="F418" i="7" s="1"/>
  <c r="I418" i="7" l="1"/>
  <c r="B419" i="7"/>
  <c r="G418" i="7"/>
  <c r="H418" i="7" s="1"/>
  <c r="C419" i="7" s="1"/>
  <c r="D419" i="7" s="1"/>
  <c r="F419" i="7" s="1"/>
  <c r="B420" i="7" l="1"/>
  <c r="G419" i="7"/>
  <c r="H419" i="7" s="1"/>
  <c r="C420" i="7" s="1"/>
  <c r="I419" i="7"/>
  <c r="D420" i="7" l="1"/>
  <c r="F420" i="7" s="1"/>
  <c r="B421" i="7" l="1"/>
  <c r="G420" i="7"/>
  <c r="H420" i="7" s="1"/>
  <c r="C421" i="7" s="1"/>
  <c r="I420" i="7"/>
  <c r="D421" i="7" l="1"/>
  <c r="F421" i="7" s="1"/>
  <c r="G421" i="7"/>
  <c r="H421" i="7" s="1"/>
  <c r="C422" i="7" s="1"/>
  <c r="I421" i="7"/>
  <c r="B422" i="7"/>
  <c r="D422" i="7" l="1"/>
  <c r="F422" i="7" s="1"/>
  <c r="G422" i="7" s="1"/>
  <c r="H422" i="7" s="1"/>
  <c r="C423" i="7" s="1"/>
  <c r="B423" i="7"/>
  <c r="I422" i="7" l="1"/>
  <c r="D423" i="7"/>
  <c r="F423" i="7" s="1"/>
  <c r="I423" i="7" l="1"/>
  <c r="G423" i="7"/>
  <c r="H423" i="7" s="1"/>
  <c r="C424" i="7" s="1"/>
  <c r="B424" i="7"/>
  <c r="D424" i="7" l="1"/>
  <c r="F424" i="7" s="1"/>
  <c r="I424" i="7" l="1"/>
  <c r="B425" i="7"/>
  <c r="G424" i="7"/>
  <c r="H424" i="7" s="1"/>
  <c r="C425" i="7" s="1"/>
  <c r="D425" i="7" l="1"/>
  <c r="F425" i="7" s="1"/>
  <c r="G425" i="7" l="1"/>
  <c r="H425" i="7" s="1"/>
  <c r="C426" i="7" s="1"/>
  <c r="I425" i="7"/>
  <c r="B426" i="7"/>
  <c r="D426" i="7" s="1"/>
  <c r="F426" i="7" s="1"/>
  <c r="B427" i="7" l="1"/>
  <c r="G426" i="7"/>
  <c r="H426" i="7" s="1"/>
  <c r="C427" i="7" s="1"/>
  <c r="I426" i="7"/>
  <c r="D427" i="7" l="1"/>
  <c r="F427" i="7" s="1"/>
  <c r="B428" i="7" l="1"/>
  <c r="I427" i="7"/>
  <c r="G427" i="7"/>
  <c r="H427" i="7" s="1"/>
  <c r="C428" i="7" s="1"/>
  <c r="D428" i="7" l="1"/>
  <c r="F428" i="7" s="1"/>
  <c r="G428" i="7" l="1"/>
  <c r="H428" i="7" s="1"/>
  <c r="C429" i="7" s="1"/>
  <c r="B429" i="7"/>
  <c r="I428" i="7"/>
  <c r="D429" i="7" l="1"/>
  <c r="F429" i="7" s="1"/>
  <c r="B430" i="7" l="1"/>
  <c r="I429" i="7"/>
  <c r="G429" i="7"/>
  <c r="H429" i="7" s="1"/>
  <c r="C430" i="7" s="1"/>
  <c r="D430" i="7" l="1"/>
  <c r="F430" i="7" s="1"/>
  <c r="I430" i="7" l="1"/>
  <c r="G430" i="7"/>
  <c r="H430" i="7" s="1"/>
  <c r="C431" i="7" s="1"/>
  <c r="B431" i="7"/>
  <c r="D431" i="7" l="1"/>
  <c r="F431" i="7" s="1"/>
  <c r="B432" i="7" l="1"/>
  <c r="I431" i="7"/>
  <c r="G431" i="7"/>
  <c r="H431" i="7" s="1"/>
  <c r="C432" i="7" s="1"/>
  <c r="D432" i="7" l="1"/>
  <c r="F432" i="7" s="1"/>
  <c r="I432" i="7" l="1"/>
  <c r="G432" i="7"/>
  <c r="H432" i="7" s="1"/>
  <c r="C433" i="7" s="1"/>
  <c r="B433" i="7"/>
  <c r="D433" i="7" l="1"/>
  <c r="F433" i="7" s="1"/>
  <c r="G433" i="7" l="1"/>
  <c r="H433" i="7" s="1"/>
  <c r="C434" i="7" s="1"/>
  <c r="I433" i="7"/>
  <c r="B434" i="7"/>
  <c r="D434" i="7" s="1"/>
  <c r="F434" i="7" s="1"/>
  <c r="B435" i="7" l="1"/>
  <c r="I434" i="7"/>
  <c r="G434" i="7"/>
  <c r="H434" i="7" s="1"/>
  <c r="C435" i="7" s="1"/>
  <c r="D435" i="7" l="1"/>
  <c r="F435" i="7" s="1"/>
  <c r="I435" i="7" l="1"/>
  <c r="B436" i="7"/>
  <c r="G435" i="7"/>
  <c r="H435" i="7" s="1"/>
  <c r="C436" i="7" s="1"/>
  <c r="D436" i="7" l="1"/>
  <c r="F436" i="7" s="1"/>
  <c r="B437" i="7" l="1"/>
  <c r="I436" i="7"/>
  <c r="G436" i="7"/>
  <c r="H436" i="7" s="1"/>
  <c r="C437" i="7" s="1"/>
  <c r="D437" i="7" l="1"/>
  <c r="F437" i="7" s="1"/>
  <c r="B438" i="7" l="1"/>
  <c r="I437" i="7"/>
  <c r="G437" i="7"/>
  <c r="H437" i="7" s="1"/>
  <c r="C438" i="7" s="1"/>
  <c r="D438" i="7" l="1"/>
  <c r="F438" i="7" s="1"/>
  <c r="G438" i="7" l="1"/>
  <c r="H438" i="7" s="1"/>
  <c r="C439" i="7" s="1"/>
  <c r="B439" i="7"/>
  <c r="I438" i="7"/>
  <c r="D439" i="7" l="1"/>
  <c r="F439" i="7" s="1"/>
  <c r="G439" i="7" l="1"/>
  <c r="H439" i="7" s="1"/>
  <c r="C440" i="7" s="1"/>
  <c r="B440" i="7"/>
  <c r="I439" i="7"/>
  <c r="D440" i="7" l="1"/>
  <c r="F440" i="7" s="1"/>
  <c r="G440" i="7" l="1"/>
  <c r="H440" i="7" s="1"/>
  <c r="C441" i="7" s="1"/>
  <c r="I440" i="7"/>
  <c r="B441" i="7"/>
  <c r="D441" i="7" l="1"/>
  <c r="F441" i="7" s="1"/>
  <c r="G441" i="7" l="1"/>
  <c r="H441" i="7" s="1"/>
  <c r="C442" i="7" s="1"/>
  <c r="I441" i="7"/>
  <c r="B442" i="7"/>
  <c r="D442" i="7" l="1"/>
  <c r="F442" i="7" s="1"/>
  <c r="I442" i="7"/>
  <c r="B443" i="7"/>
  <c r="G442" i="7"/>
  <c r="H442" i="7" s="1"/>
  <c r="C443" i="7" s="1"/>
  <c r="D443" i="7" l="1"/>
  <c r="F443" i="7" s="1"/>
  <c r="I443" i="7"/>
  <c r="B444" i="7"/>
  <c r="G443" i="7"/>
  <c r="H443" i="7" s="1"/>
  <c r="C444" i="7" s="1"/>
  <c r="D444" i="7" l="1"/>
  <c r="F444" i="7" s="1"/>
  <c r="I444" i="7" l="1"/>
  <c r="B445" i="7"/>
  <c r="G444" i="7"/>
  <c r="H444" i="7" s="1"/>
  <c r="C445" i="7" s="1"/>
  <c r="D445" i="7" l="1"/>
  <c r="F445" i="7" s="1"/>
  <c r="G445" i="7" l="1"/>
  <c r="H445" i="7" s="1"/>
  <c r="C446" i="7" s="1"/>
  <c r="I445" i="7"/>
  <c r="B446" i="7"/>
  <c r="D446" i="7" s="1"/>
  <c r="F446" i="7" s="1"/>
  <c r="G446" i="7" l="1"/>
  <c r="H446" i="7" s="1"/>
  <c r="C447" i="7" s="1"/>
  <c r="B447" i="7"/>
  <c r="I446" i="7"/>
  <c r="D447" i="7" l="1"/>
  <c r="F447" i="7" s="1"/>
  <c r="I447" i="7" l="1"/>
  <c r="B448" i="7"/>
  <c r="G447" i="7"/>
  <c r="H447" i="7" s="1"/>
  <c r="C448" i="7" s="1"/>
  <c r="D448" i="7" l="1"/>
  <c r="F448" i="7" s="1"/>
  <c r="B449" i="7" l="1"/>
  <c r="G448" i="7"/>
  <c r="H448" i="7" s="1"/>
  <c r="C449" i="7" s="1"/>
  <c r="I448" i="7"/>
  <c r="D449" i="7" l="1"/>
  <c r="F449" i="7" s="1"/>
  <c r="G449" i="7" l="1"/>
  <c r="H449" i="7" s="1"/>
  <c r="C450" i="7" s="1"/>
  <c r="I449" i="7"/>
  <c r="B450" i="7"/>
  <c r="D450" i="7" l="1"/>
  <c r="F450" i="7" s="1"/>
  <c r="I450" i="7" l="1"/>
  <c r="G450" i="7"/>
  <c r="H450" i="7" s="1"/>
  <c r="C451" i="7" s="1"/>
  <c r="B451" i="7"/>
  <c r="D451" i="7" l="1"/>
  <c r="F451" i="7" s="1"/>
  <c r="B452" i="7" l="1"/>
  <c r="G451" i="7"/>
  <c r="H451" i="7" s="1"/>
  <c r="C452" i="7" s="1"/>
  <c r="I451" i="7"/>
  <c r="D452" i="7" l="1"/>
  <c r="F452" i="7" s="1"/>
  <c r="I452" i="7" l="1"/>
  <c r="B453" i="7"/>
  <c r="G452" i="7"/>
  <c r="H452" i="7" s="1"/>
  <c r="C453" i="7" s="1"/>
  <c r="D453" i="7" l="1"/>
  <c r="F453" i="7" s="1"/>
  <c r="B454" i="7" l="1"/>
  <c r="I453" i="7"/>
  <c r="G453" i="7"/>
  <c r="H453" i="7" s="1"/>
  <c r="C454" i="7" s="1"/>
  <c r="D454" i="7" l="1"/>
  <c r="F454" i="7" s="1"/>
  <c r="I454" i="7" l="1"/>
  <c r="G454" i="7"/>
  <c r="H454" i="7" s="1"/>
  <c r="C455" i="7" s="1"/>
  <c r="B455" i="7"/>
  <c r="D455" i="7" l="1"/>
  <c r="F455" i="7" s="1"/>
  <c r="G455" i="7" l="1"/>
  <c r="H455" i="7" s="1"/>
  <c r="C456" i="7" s="1"/>
  <c r="B456" i="7"/>
  <c r="I455" i="7"/>
  <c r="D456" i="7" l="1"/>
  <c r="F456" i="7" s="1"/>
  <c r="G456" i="7" l="1"/>
  <c r="H456" i="7" s="1"/>
  <c r="C457" i="7" s="1"/>
  <c r="I456" i="7"/>
  <c r="B457" i="7"/>
  <c r="D457" i="7" l="1"/>
  <c r="F457" i="7" s="1"/>
  <c r="G457" i="7"/>
  <c r="H457" i="7" s="1"/>
  <c r="C458" i="7" s="1"/>
  <c r="I457" i="7"/>
  <c r="B458" i="7"/>
  <c r="D458" i="7" l="1"/>
  <c r="F458" i="7" s="1"/>
  <c r="I458" i="7" s="1"/>
  <c r="G458" i="7"/>
  <c r="H458" i="7" s="1"/>
  <c r="C459" i="7" s="1"/>
  <c r="B459" i="7" l="1"/>
  <c r="D459" i="7"/>
  <c r="F459" i="7" s="1"/>
  <c r="B460" i="7" l="1"/>
  <c r="G459" i="7"/>
  <c r="H459" i="7" s="1"/>
  <c r="C460" i="7" s="1"/>
  <c r="I459" i="7"/>
  <c r="D460" i="7" l="1"/>
  <c r="F460" i="7" s="1"/>
  <c r="G460" i="7" l="1"/>
  <c r="H460" i="7" s="1"/>
  <c r="C461" i="7" s="1"/>
  <c r="B461" i="7"/>
  <c r="D461" i="7" s="1"/>
  <c r="F461" i="7" s="1"/>
  <c r="I460" i="7"/>
  <c r="I461" i="7" l="1"/>
  <c r="G461" i="7"/>
  <c r="H461" i="7" s="1"/>
  <c r="C462" i="7" s="1"/>
  <c r="B462" i="7"/>
  <c r="D462" i="7" l="1"/>
  <c r="F462" i="7" s="1"/>
  <c r="G462" i="7" l="1"/>
  <c r="H462" i="7" s="1"/>
  <c r="C463" i="7" s="1"/>
  <c r="I462" i="7"/>
  <c r="B463" i="7"/>
  <c r="D463" i="7" l="1"/>
  <c r="F463" i="7" s="1"/>
  <c r="I463" i="7" l="1"/>
  <c r="G463" i="7"/>
  <c r="H463" i="7" s="1"/>
  <c r="C464" i="7" s="1"/>
  <c r="B464" i="7"/>
  <c r="D464" i="7" l="1"/>
  <c r="F464" i="7" s="1"/>
  <c r="G464" i="7" l="1"/>
  <c r="H464" i="7" s="1"/>
  <c r="C465" i="7" s="1"/>
  <c r="B465" i="7"/>
  <c r="D465" i="7" s="1"/>
  <c r="F465" i="7" s="1"/>
  <c r="I464" i="7"/>
  <c r="B466" i="7" l="1"/>
  <c r="G465" i="7"/>
  <c r="H465" i="7" s="1"/>
  <c r="C466" i="7" s="1"/>
  <c r="I465" i="7"/>
  <c r="D466" i="7" l="1"/>
  <c r="F466" i="7" s="1"/>
  <c r="I466" i="7" l="1"/>
  <c r="B467" i="7"/>
  <c r="G466" i="7"/>
  <c r="H466" i="7" s="1"/>
  <c r="C467" i="7" s="1"/>
  <c r="D467" i="7" l="1"/>
  <c r="F467" i="7" s="1"/>
  <c r="I467" i="7" l="1"/>
  <c r="G467" i="7"/>
  <c r="H467" i="7" s="1"/>
  <c r="C468" i="7" s="1"/>
  <c r="B468" i="7"/>
  <c r="D468" i="7" l="1"/>
  <c r="F468" i="7" s="1"/>
  <c r="G468" i="7" l="1"/>
  <c r="H468" i="7" s="1"/>
  <c r="C469" i="7" s="1"/>
  <c r="B469" i="7"/>
  <c r="I468" i="7"/>
  <c r="D469" i="7" l="1"/>
  <c r="F469" i="7" s="1"/>
  <c r="I469" i="7"/>
  <c r="B470" i="7"/>
  <c r="G469" i="7"/>
  <c r="H469" i="7" s="1"/>
  <c r="C470" i="7" s="1"/>
  <c r="D470" i="7" l="1"/>
  <c r="F470" i="7" s="1"/>
  <c r="G470" i="7" l="1"/>
  <c r="H470" i="7" s="1"/>
  <c r="C471" i="7" s="1"/>
  <c r="B471" i="7"/>
  <c r="I470" i="7"/>
  <c r="D471" i="7" l="1"/>
  <c r="F471" i="7" s="1"/>
  <c r="B472" i="7"/>
  <c r="I471" i="7"/>
  <c r="G471" i="7"/>
  <c r="H471" i="7" s="1"/>
  <c r="C472" i="7" s="1"/>
  <c r="D472" i="7" l="1"/>
  <c r="F472" i="7" s="1"/>
  <c r="G472" i="7" l="1"/>
  <c r="H472" i="7" s="1"/>
  <c r="C473" i="7" s="1"/>
  <c r="B473" i="7"/>
  <c r="I472" i="7"/>
  <c r="D473" i="7" l="1"/>
  <c r="F473" i="7" s="1"/>
  <c r="B474" i="7" s="1"/>
  <c r="G473" i="7"/>
  <c r="H473" i="7" s="1"/>
  <c r="C474" i="7" s="1"/>
  <c r="I473" i="7"/>
  <c r="D474" i="7" l="1"/>
  <c r="F474" i="7" s="1"/>
  <c r="I474" i="7" l="1"/>
  <c r="B475" i="7"/>
  <c r="G474" i="7"/>
  <c r="H474" i="7" s="1"/>
  <c r="C475" i="7" s="1"/>
  <c r="D475" i="7" l="1"/>
  <c r="F475" i="7" s="1"/>
  <c r="B476" i="7" l="1"/>
  <c r="G475" i="7"/>
  <c r="H475" i="7" s="1"/>
  <c r="C476" i="7" s="1"/>
  <c r="I475" i="7"/>
  <c r="D476" i="7" l="1"/>
  <c r="F476" i="7" s="1"/>
  <c r="I476" i="7" l="1"/>
  <c r="G476" i="7"/>
  <c r="H476" i="7" s="1"/>
  <c r="C477" i="7" s="1"/>
  <c r="B477" i="7"/>
  <c r="D477" i="7" l="1"/>
  <c r="F477" i="7" s="1"/>
  <c r="B478" i="7"/>
  <c r="I477" i="7"/>
  <c r="G477" i="7"/>
  <c r="H477" i="7" s="1"/>
  <c r="C478" i="7" s="1"/>
  <c r="D478" i="7" l="1"/>
  <c r="F478" i="7" s="1"/>
  <c r="B479" i="7" l="1"/>
  <c r="I478" i="7"/>
  <c r="G478" i="7"/>
  <c r="H478" i="7" s="1"/>
  <c r="C479" i="7" s="1"/>
  <c r="D479" i="7" l="1"/>
  <c r="F479" i="7" s="1"/>
  <c r="I479" i="7" l="1"/>
  <c r="G479" i="7"/>
  <c r="H479" i="7" s="1"/>
  <c r="C480" i="7" s="1"/>
  <c r="B480" i="7"/>
  <c r="D480" i="7" l="1"/>
  <c r="F480" i="7" s="1"/>
  <c r="G480" i="7" l="1"/>
  <c r="H480" i="7" s="1"/>
  <c r="C481" i="7" s="1"/>
  <c r="B481" i="7"/>
  <c r="I480" i="7"/>
  <c r="D481" i="7" l="1"/>
  <c r="F481" i="7" s="1"/>
  <c r="I481" i="7" s="1"/>
  <c r="G481" i="7" l="1"/>
  <c r="H481" i="7" s="1"/>
  <c r="C482" i="7" s="1"/>
  <c r="B482" i="7"/>
  <c r="D482" i="7" l="1"/>
  <c r="F482" i="7" s="1"/>
  <c r="I482" i="7"/>
  <c r="B483" i="7"/>
  <c r="G482" i="7"/>
  <c r="H482" i="7" s="1"/>
  <c r="C483" i="7" s="1"/>
  <c r="D483" i="7" l="1"/>
  <c r="F483" i="7" s="1"/>
  <c r="I483" i="7" l="1"/>
  <c r="G483" i="7"/>
  <c r="H483" i="7" s="1"/>
  <c r="C484" i="7" s="1"/>
  <c r="B484" i="7"/>
  <c r="D484" i="7" l="1"/>
  <c r="F484" i="7" s="1"/>
  <c r="I484" i="7" l="1"/>
  <c r="B485" i="7"/>
  <c r="G484" i="7"/>
  <c r="H484" i="7" s="1"/>
  <c r="C485" i="7" s="1"/>
  <c r="D485" i="7" l="1"/>
  <c r="F485" i="7" s="1"/>
  <c r="G485" i="7" l="1"/>
  <c r="H485" i="7" s="1"/>
  <c r="C486" i="7" s="1"/>
  <c r="B486" i="7"/>
  <c r="I485" i="7"/>
  <c r="D486" i="7" l="1"/>
  <c r="F486" i="7" s="1"/>
  <c r="I486" i="7" l="1"/>
  <c r="B487" i="7"/>
  <c r="G486" i="7"/>
  <c r="H486" i="7" s="1"/>
  <c r="C487" i="7" s="1"/>
  <c r="D487" i="7" l="1"/>
  <c r="F487" i="7" s="1"/>
  <c r="B488" i="7" l="1"/>
  <c r="I487" i="7"/>
  <c r="G487" i="7"/>
  <c r="H487" i="7" s="1"/>
  <c r="C488" i="7" s="1"/>
  <c r="D488" i="7" l="1"/>
  <c r="F488" i="7" s="1"/>
  <c r="I488" i="7" l="1"/>
  <c r="G488" i="7"/>
  <c r="H488" i="7" s="1"/>
  <c r="C489" i="7" s="1"/>
  <c r="B489" i="7"/>
  <c r="D489" i="7" l="1"/>
  <c r="F489" i="7" s="1"/>
  <c r="G489" i="7" l="1"/>
  <c r="H489" i="7" s="1"/>
  <c r="C490" i="7" s="1"/>
  <c r="B490" i="7"/>
  <c r="I489" i="7"/>
  <c r="D490" i="7" l="1"/>
  <c r="F490" i="7" s="1"/>
  <c r="B491" i="7" l="1"/>
  <c r="I490" i="7"/>
  <c r="G490" i="7"/>
  <c r="H490" i="7" s="1"/>
  <c r="C491" i="7" s="1"/>
  <c r="D491" i="7" l="1"/>
  <c r="F491" i="7" s="1"/>
  <c r="B492" i="7" l="1"/>
  <c r="G491" i="7"/>
  <c r="H491" i="7" s="1"/>
  <c r="C492" i="7" s="1"/>
  <c r="I491" i="7"/>
  <c r="D492" i="7" l="1"/>
  <c r="F492" i="7" s="1"/>
  <c r="G492" i="7" l="1"/>
  <c r="H492" i="7" s="1"/>
  <c r="C493" i="7" s="1"/>
  <c r="B493" i="7"/>
  <c r="I492" i="7"/>
  <c r="D493" i="7" l="1"/>
  <c r="F493" i="7" s="1"/>
  <c r="B494" i="7" l="1"/>
  <c r="G493" i="7"/>
  <c r="H493" i="7" s="1"/>
  <c r="C494" i="7" s="1"/>
  <c r="I493" i="7"/>
  <c r="D494" i="7" l="1"/>
  <c r="F494" i="7" s="1"/>
  <c r="G494" i="7" l="1"/>
  <c r="H494" i="7" s="1"/>
  <c r="C495" i="7" s="1"/>
  <c r="B495" i="7"/>
  <c r="I494" i="7"/>
  <c r="D495" i="7" l="1"/>
  <c r="F495" i="7" s="1"/>
  <c r="I495" i="7"/>
  <c r="G495" i="7"/>
  <c r="H495" i="7" s="1"/>
  <c r="C496" i="7" s="1"/>
  <c r="B496" i="7"/>
  <c r="D496" i="7" l="1"/>
  <c r="F496" i="7" s="1"/>
  <c r="I496" i="7" l="1"/>
  <c r="G496" i="7"/>
  <c r="H496" i="7" s="1"/>
  <c r="C497" i="7" s="1"/>
  <c r="B497" i="7"/>
  <c r="D497" i="7" l="1"/>
  <c r="F497" i="7" s="1"/>
  <c r="B498" i="7" l="1"/>
  <c r="G497" i="7"/>
  <c r="H497" i="7" s="1"/>
  <c r="C498" i="7" s="1"/>
  <c r="I497" i="7"/>
  <c r="D498" i="7" l="1"/>
  <c r="F498" i="7" s="1"/>
  <c r="I498" i="7" l="1"/>
  <c r="B499" i="7"/>
  <c r="G498" i="7"/>
  <c r="H498" i="7" s="1"/>
  <c r="C499" i="7" s="1"/>
  <c r="D499" i="7" l="1"/>
  <c r="F499" i="7" s="1"/>
  <c r="B500" i="7" l="1"/>
  <c r="G499" i="7"/>
  <c r="H499" i="7" s="1"/>
  <c r="C500" i="7" s="1"/>
  <c r="I499" i="7"/>
  <c r="D500" i="7" l="1"/>
  <c r="F500" i="7" s="1"/>
  <c r="G500" i="7" l="1"/>
  <c r="H500" i="7" s="1"/>
  <c r="C501" i="7" s="1"/>
  <c r="I500" i="7"/>
  <c r="B501" i="7"/>
  <c r="D501" i="7" l="1"/>
  <c r="F501" i="7" s="1"/>
  <c r="I501" i="7"/>
  <c r="G501" i="7"/>
  <c r="H501" i="7" s="1"/>
  <c r="C502" i="7" s="1"/>
  <c r="B502" i="7"/>
  <c r="D502" i="7" l="1"/>
  <c r="F502" i="7" s="1"/>
  <c r="B503" i="7" l="1"/>
  <c r="I502" i="7"/>
  <c r="G502" i="7"/>
  <c r="H502" i="7" s="1"/>
  <c r="C503" i="7" s="1"/>
  <c r="D503" i="7" l="1"/>
  <c r="F503" i="7" s="1"/>
  <c r="G503" i="7" l="1"/>
  <c r="H503" i="7" s="1"/>
  <c r="C504" i="7" s="1"/>
  <c r="B504" i="7"/>
  <c r="I503" i="7"/>
  <c r="D504" i="7" l="1"/>
  <c r="F504" i="7" s="1"/>
  <c r="I504" i="7"/>
  <c r="I505" i="7" s="1"/>
  <c r="G504" i="7"/>
  <c r="H504" i="7" s="1"/>
  <c r="K2" i="7"/>
</calcChain>
</file>

<file path=xl/sharedStrings.xml><?xml version="1.0" encoding="utf-8"?>
<sst xmlns="http://schemas.openxmlformats.org/spreadsheetml/2006/main" count="141" uniqueCount="124">
  <si>
    <r>
      <t xml:space="preserve">Exemple avec </t>
    </r>
    <r>
      <rPr>
        <b/>
        <sz val="10"/>
        <color indexed="10"/>
        <rFont val="Symbol"/>
        <family val="1"/>
      </rPr>
      <t>l</t>
    </r>
    <r>
      <rPr>
        <b/>
        <sz val="10"/>
        <color indexed="10"/>
        <rFont val="Arial"/>
        <family val="2"/>
      </rPr>
      <t>'</t>
    </r>
    <r>
      <rPr>
        <sz val="10"/>
        <color indexed="10"/>
        <rFont val="Arial"/>
        <family val="2"/>
      </rPr>
      <t xml:space="preserve"> = 4 arrivées par minutes &lt;=&gt; intervalle moyen entre 2 arrivées successives est </t>
    </r>
    <r>
      <rPr>
        <b/>
        <sz val="10"/>
        <color indexed="10"/>
        <rFont val="Symbol"/>
        <family val="1"/>
      </rPr>
      <t>l</t>
    </r>
    <r>
      <rPr>
        <sz val="10"/>
        <color indexed="10"/>
        <rFont val="Arial"/>
        <family val="2"/>
      </rPr>
      <t xml:space="preserve"> = 1/4 = 0,25 minutes</t>
    </r>
  </si>
  <si>
    <t>Exponentiel(0,25)</t>
  </si>
  <si>
    <r>
      <t xml:space="preserve">Intervalle moyen entre 2 arrivées successuves  </t>
    </r>
    <r>
      <rPr>
        <sz val="10"/>
        <rFont val="Symbol"/>
        <family val="1"/>
      </rPr>
      <t xml:space="preserve">l </t>
    </r>
    <r>
      <rPr>
        <sz val="10"/>
        <rFont val="Arial"/>
        <family val="2"/>
      </rPr>
      <t xml:space="preserve"> (en minutes)</t>
    </r>
  </si>
  <si>
    <r>
      <t xml:space="preserve">temps moyen de traitement d'un item  </t>
    </r>
    <r>
      <rPr>
        <sz val="10"/>
        <rFont val="Symbol"/>
        <family val="1"/>
      </rPr>
      <t xml:space="preserve">m </t>
    </r>
    <r>
      <rPr>
        <sz val="10"/>
        <rFont val="Arial"/>
        <family val="2"/>
      </rPr>
      <t xml:space="preserve"> (en minutes)</t>
    </r>
  </si>
  <si>
    <r>
      <rPr>
        <sz val="10"/>
        <rFont val="Symbol"/>
        <family val="1"/>
      </rPr>
      <t>r</t>
    </r>
    <r>
      <rPr>
        <sz val="10"/>
        <rFont val="Arial"/>
        <family val="2"/>
      </rPr>
      <t xml:space="preserve"> =</t>
    </r>
  </si>
  <si>
    <t>Nombre moyen d'items dans le système</t>
  </si>
  <si>
    <t>Nombre moyen d'items en attente dans le système</t>
  </si>
  <si>
    <t>Cas  1 processeur unique - pas de limite de capacité de stock</t>
  </si>
  <si>
    <t>Temps moyen passé dans le système (en minutes)</t>
  </si>
  <si>
    <t>Valeur théorique</t>
  </si>
  <si>
    <t>Probabilité d'avoir au moins un client dans le système</t>
  </si>
  <si>
    <t>Temps moyen passé dans le système en attente (en minutes)</t>
  </si>
  <si>
    <t>Cas  2 processeur unique - capacité de stock limitée à 3</t>
  </si>
  <si>
    <t>P0</t>
  </si>
  <si>
    <t>P1</t>
  </si>
  <si>
    <t>P2</t>
  </si>
  <si>
    <t>P3</t>
  </si>
  <si>
    <t>Somme</t>
  </si>
  <si>
    <t>x</t>
  </si>
  <si>
    <t>f(x)</t>
  </si>
  <si>
    <t>Recueil d'arrivées d'appel à un standard (date d'arrivée en minute)</t>
  </si>
  <si>
    <t>Intervalle (calculé) entre 2 arrivées successives</t>
  </si>
  <si>
    <t xml:space="preserve">N = </t>
  </si>
  <si>
    <t>Lecture P(X&gt;113)= 6,10%</t>
  </si>
  <si>
    <t>p =</t>
  </si>
  <si>
    <t>Lecture P(X&gt;114)= 4,86%</t>
  </si>
  <si>
    <t>Distribution de probabilité de cette loi Binomiale</t>
  </si>
  <si>
    <t xml:space="preserve"> =&gt; choix de R = 114 si risque acceptable ne devant pas dépasser 5%</t>
  </si>
  <si>
    <t>P(X&lt;=x)</t>
  </si>
  <si>
    <t>P(X&gt;x)</t>
  </si>
  <si>
    <t>Stock initial</t>
  </si>
  <si>
    <t>Niveau de recomplètement</t>
  </si>
  <si>
    <t>Livraison initiale</t>
  </si>
  <si>
    <t>Capacité du camion</t>
  </si>
  <si>
    <t>Risque subi</t>
  </si>
  <si>
    <t>Jour j</t>
  </si>
  <si>
    <t>Stock initial début de journée</t>
  </si>
  <si>
    <t>Livraison</t>
  </si>
  <si>
    <t>Stock initial après livraison</t>
  </si>
  <si>
    <t>Demande du jour j</t>
  </si>
  <si>
    <t>Stock fin de journé</t>
  </si>
  <si>
    <t>Commande souhaitée (hors contrainte)</t>
  </si>
  <si>
    <t>Commande passée</t>
  </si>
  <si>
    <t>Table de loi Normale (0;1)</t>
  </si>
  <si>
    <t>Génération aléatoire d'alpha</t>
  </si>
  <si>
    <t>Génération aléatoire de t</t>
  </si>
  <si>
    <t>Génération aléatoire de x</t>
  </si>
  <si>
    <t>modalité i</t>
  </si>
  <si>
    <t>i = 1</t>
  </si>
  <si>
    <t>i = 2</t>
  </si>
  <si>
    <t>i = 3</t>
  </si>
  <si>
    <t>pi</t>
  </si>
  <si>
    <t>(pi cumulé)</t>
  </si>
  <si>
    <t>Simulation variable qualitative</t>
  </si>
  <si>
    <t>Appuyez sur la touche F9 pour générer de nouvelles occurrences des variables aléatoires</t>
  </si>
  <si>
    <t>Variable qualitative (ou variable discrète)</t>
  </si>
  <si>
    <t>n° d'occurrence</t>
  </si>
  <si>
    <t>ALEA()</t>
  </si>
  <si>
    <t>VARIANTE permettant un calcul direct des fréquences absolues des modalités</t>
  </si>
  <si>
    <t>i =1</t>
  </si>
  <si>
    <t>i=2</t>
  </si>
  <si>
    <t>i=3</t>
  </si>
  <si>
    <t>TOTAL</t>
  </si>
  <si>
    <t>Application à N(1,75;0,07)      taille hommes</t>
  </si>
  <si>
    <r>
      <t xml:space="preserve">Génération aléatoire </t>
    </r>
    <r>
      <rPr>
        <b/>
        <sz val="10"/>
        <color indexed="10"/>
        <rFont val="Arial"/>
        <family val="2"/>
      </rPr>
      <t>directe</t>
    </r>
    <r>
      <rPr>
        <sz val="10"/>
        <rFont val="Arial"/>
        <family val="2"/>
      </rPr>
      <t xml:space="preserve"> de x</t>
    </r>
  </si>
  <si>
    <t>P(T&lt;t)</t>
  </si>
  <si>
    <t>t</t>
  </si>
  <si>
    <t>FONCTION DE REPARTITION DE LA LOI NORMALE</t>
  </si>
  <si>
    <t>GENERATION D'UNE VARIABLE ALEATOIRE QUANTITATIVE</t>
  </si>
  <si>
    <t>Tirage avec remise d'un échantillon de taille 10 dans une population de 7593</t>
  </si>
  <si>
    <t>rang de tirage</t>
  </si>
  <si>
    <t>individu tiré</t>
  </si>
  <si>
    <t>Remarque : obligation d'expliciter dans une cellule la probabilité utilisée</t>
  </si>
  <si>
    <t>ARRIVEES DE POISSON</t>
  </si>
  <si>
    <t xml:space="preserve">Illustration du passage des </t>
  </si>
  <si>
    <t>Intervalle entre deux arrivées successives</t>
  </si>
  <si>
    <t>Dates des arrivées</t>
  </si>
  <si>
    <t>Numéro d'arrivée</t>
  </si>
  <si>
    <t>numéro de minute de l'arrivée</t>
  </si>
  <si>
    <t xml:space="preserve"> = -LN(ALEA())/4 (mais recopie valeurs  pour montrer distribution de Poisson)</t>
  </si>
  <si>
    <t>Nombre d'arrivées au cours de la minute</t>
  </si>
  <si>
    <t>aucune arrivée au cours de la minute 30</t>
  </si>
  <si>
    <t>aucune arrivée au cours de la minute 33</t>
  </si>
  <si>
    <r>
      <t>P(</t>
    </r>
    <r>
      <rPr>
        <i/>
        <sz val="10"/>
        <rFont val="Arial"/>
        <family val="2"/>
      </rPr>
      <t>T&gt;t</t>
    </r>
    <r>
      <rPr>
        <sz val="10"/>
        <rFont val="Arial"/>
        <family val="2"/>
      </rPr>
      <t>)</t>
    </r>
  </si>
  <si>
    <r>
      <t>t</t>
    </r>
    <r>
      <rPr>
        <sz val="10"/>
        <rFont val="Arial"/>
        <family val="2"/>
      </rPr>
      <t xml:space="preserve"> (intervalle exprimé en minutes)</t>
    </r>
  </si>
  <si>
    <t>a=1 ; l = 4</t>
  </si>
  <si>
    <t>a=2 ; l = 4</t>
  </si>
  <si>
    <t>a=3 ; l = 4</t>
  </si>
  <si>
    <t>a=4 ; l = 4</t>
  </si>
  <si>
    <t>a=5 ; l = 4</t>
  </si>
  <si>
    <t>a=2 ; l = 2</t>
  </si>
  <si>
    <t>a=5 ; l = 2</t>
  </si>
  <si>
    <r>
      <t xml:space="preserve">P(T &gt;t) pour une loi d'Erlang de paramètre de forme </t>
    </r>
    <r>
      <rPr>
        <sz val="10"/>
        <rFont val="Symbol"/>
        <family val="1"/>
      </rPr>
      <t>a</t>
    </r>
    <r>
      <rPr>
        <sz val="10"/>
        <rFont val="Arial"/>
        <family val="2"/>
      </rPr>
      <t xml:space="preserve"> et de paramètre d'échelle 1/</t>
    </r>
    <r>
      <rPr>
        <sz val="10"/>
        <rFont val="Symbol"/>
        <family val="1"/>
      </rPr>
      <t>l</t>
    </r>
  </si>
  <si>
    <t>a=3 ; l = 2</t>
  </si>
  <si>
    <t>CRITERE.LOI.BINOMIALE(B1;B2;95%)</t>
  </si>
  <si>
    <t>GENERATION D'UNE VARIABLE ALEATOIRE QUALITATIVE</t>
  </si>
  <si>
    <t>Created By Version</t>
  </si>
  <si>
    <t>8.10.1</t>
  </si>
  <si>
    <t>Required Version</t>
  </si>
  <si>
    <t>5.0.0</t>
  </si>
  <si>
    <t>Recommended Version</t>
  </si>
  <si>
    <t>Modified By Version</t>
  </si>
  <si>
    <t>Count</t>
  </si>
  <si>
    <t>GUID</t>
  </si>
  <si>
    <t>Name</t>
  </si>
  <si>
    <t>Range</t>
  </si>
  <si>
    <t>CRC</t>
  </si>
  <si>
    <t>Options</t>
  </si>
  <si>
    <t>Comp. Graph Serialization</t>
  </si>
  <si>
    <t>PP Graph Serialization</t>
  </si>
  <si>
    <t>QQ Graph Serialization</t>
  </si>
  <si>
    <t>Unsued</t>
  </si>
  <si>
    <t>Fixed Params</t>
  </si>
  <si>
    <t>Bootstrap Options</t>
  </si>
  <si>
    <t>BootstrapParamGraphSerialization</t>
  </si>
  <si>
    <t>BatchFit Options</t>
  </si>
  <si>
    <t>BootstrapGOFGraphSerialization</t>
  </si>
  <si>
    <t>FitSelector</t>
  </si>
  <si>
    <t>FIT_DB86E_B324C</t>
  </si>
  <si>
    <t>F1	0	0	-1E+300	1E+300	1	0	0	0	0	1	25	BetaGeneral	Binomial	Expon	ExtValue	Gamma	Geomet	IntUniform	InvGauss	Logistic	LogLogistic	Lognorm	NegBin	Normal	Pareto	Pearson5	Pearson6	Pert	Poisson	Triang	Uniform	Weibull	ExtValueMin	Laplace	Levy	Kumaraswamy	0	1	-1	1	0	1	0	0	0</t>
  </si>
  <si>
    <t>GF1_rK0qDwEAEwCgAQwjACcANQCqAL4AvwDNANsAegGcAZYBKwD//wAAAAAAAAEEAAAAAAAAAAABRkZpdCBDb21wYXJpc29uIGZvciBJbnRlcnZhbGxlIChjYWxjdWzDqSkgZW50cmUgMiBhcnJpdsOpZXMgc3VjY2Vzc2l2ZXMBKVJpc2tFeHBvbigwLDI1Mzk2O1Jpc2tTaGlmdCgtMCwwMDAyNjk4MikpAQEQAAIAAQpTdGF0aXN0aWNzAwEBAP8BAQEBAQABAQEABAAAAAEBAQEBAAEBAQAEAAAACvoAAQ4BACIBAC0BADgBAEMBAE4BAFkBAGQBAG8BABIABUlucHV0AAAA/wAA/wEBAAIAEgAFRXhwb24AAQD/3BQ8AQAAAgAJAAAAAk8BAAACAAkAAAADjAEAAAIACQAAAARMAQAAAgAJAAAABTkBAAACAAkAAAAGTgEAAAIACQAAAAcjAQAAAgAJAAAACCkBAAACAAkAAAAJYAEAAAIAggGMAQEBAwGamZmZmZmpPwAAZmZmZmZm7j8AAAUAAQEBAAEBAQA=</t>
  </si>
  <si>
    <t xml:space="preserve">0	8								</t>
  </si>
  <si>
    <t>F1	FALSE	1000	0.95</t>
  </si>
  <si>
    <r>
      <t>Loi de Poisson de paramètre</t>
    </r>
    <r>
      <rPr>
        <sz val="10"/>
        <rFont val="Symbol"/>
        <family val="1"/>
      </rPr>
      <t xml:space="preserve"> </t>
    </r>
    <r>
      <rPr>
        <b/>
        <sz val="10"/>
        <rFont val="Symbol"/>
        <family val="1"/>
      </rPr>
      <t>l</t>
    </r>
    <r>
      <rPr>
        <b/>
        <sz val="10"/>
        <rFont val="Arial"/>
        <family val="2"/>
      </rPr>
      <t>'</t>
    </r>
    <r>
      <rPr>
        <sz val="10"/>
        <rFont val="Arial"/>
        <family val="2"/>
      </rPr>
      <t xml:space="preserve"> &lt;=&gt; loi de l'intervalle aléatoire x entre 2 arrivées successives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</si>
</sst>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€&quot;_-;\-* #,##0.00\ &quot;€&quot;_-;_-* &quot;-&quot;??\ &quot;€&quot;_-;_-@_-"/>
    <numFmt numFmtId="165" formatCode="0.00000"/>
    <numFmt numFmtId="166" formatCode="0.0000"/>
    <numFmt numFmtId="167" formatCode="0.0%"/>
    <numFmt numFmtId="168" formatCode="0.000"/>
    <numFmt numFmtId="169" formatCode="0.000%"/>
  </numFmts>
  <fonts count="18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9"/>
      <name val="Geneva"/>
    </font>
    <font>
      <sz val="9"/>
      <color indexed="10"/>
      <name val="Geneva"/>
    </font>
    <font>
      <sz val="10"/>
      <name val="Arial"/>
      <family val="2"/>
    </font>
    <font>
      <b/>
      <sz val="10"/>
      <color indexed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10"/>
      <name val="Symbol"/>
      <family val="1"/>
    </font>
    <font>
      <sz val="10"/>
      <color indexed="10"/>
      <name val="Arial"/>
      <family val="2"/>
    </font>
    <font>
      <b/>
      <sz val="10"/>
      <name val="Symbol"/>
      <family val="1"/>
    </font>
    <font>
      <b/>
      <sz val="10"/>
      <color indexed="10"/>
      <name val="Symbol"/>
      <family val="1"/>
    </font>
    <font>
      <sz val="11"/>
      <color indexed="8"/>
      <name val="Calibri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4"/>
      <color indexed="10"/>
      <name val="Arial"/>
      <family val="2"/>
    </font>
    <font>
      <sz val="16"/>
      <color indexed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166" fontId="0" fillId="2" borderId="1" xfId="0" applyNumberFormat="1" applyFill="1" applyBorder="1"/>
    <xf numFmtId="167" fontId="0" fillId="2" borderId="1" xfId="2" applyNumberFormat="1" applyFont="1" applyFill="1" applyBorder="1"/>
    <xf numFmtId="167" fontId="0" fillId="3" borderId="1" xfId="2" applyNumberFormat="1" applyFont="1" applyFill="1" applyBorder="1"/>
    <xf numFmtId="166" fontId="0" fillId="3" borderId="1" xfId="0" applyNumberFormat="1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/>
    <xf numFmtId="165" fontId="0" fillId="4" borderId="1" xfId="0" applyNumberFormat="1" applyFill="1" applyBorder="1"/>
    <xf numFmtId="0" fontId="0" fillId="5" borderId="1" xfId="0" applyFill="1" applyBorder="1" applyAlignment="1">
      <alignment horizontal="center" vertical="center" wrapText="1"/>
    </xf>
    <xf numFmtId="166" fontId="0" fillId="5" borderId="1" xfId="0" applyNumberFormat="1" applyFill="1" applyBorder="1"/>
    <xf numFmtId="169" fontId="0" fillId="5" borderId="1" xfId="2" applyNumberFormat="1" applyFont="1" applyFill="1" applyBorder="1"/>
    <xf numFmtId="0" fontId="0" fillId="6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9" fontId="0" fillId="6" borderId="3" xfId="0" applyNumberForma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9" fontId="0" fillId="6" borderId="5" xfId="0" applyNumberFormat="1" applyFill="1" applyBorder="1" applyAlignment="1">
      <alignment horizontal="center"/>
    </xf>
    <xf numFmtId="9" fontId="0" fillId="6" borderId="6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4" fillId="0" borderId="0" xfId="0" applyFont="1"/>
    <xf numFmtId="0" fontId="4" fillId="6" borderId="0" xfId="0" applyFont="1" applyFill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0" fontId="5" fillId="5" borderId="1" xfId="0" quotePrefix="1" applyFont="1" applyFill="1" applyBorder="1" applyAlignment="1">
      <alignment horizontal="center" vertical="center" wrapText="1"/>
    </xf>
    <xf numFmtId="0" fontId="5" fillId="0" borderId="0" xfId="0" applyFont="1"/>
    <xf numFmtId="9" fontId="0" fillId="0" borderId="0" xfId="0" applyNumberFormat="1"/>
    <xf numFmtId="0" fontId="7" fillId="0" borderId="1" xfId="0" applyFont="1" applyBorder="1" applyAlignment="1">
      <alignment horizontal="center"/>
    </xf>
    <xf numFmtId="166" fontId="5" fillId="0" borderId="1" xfId="0" applyNumberFormat="1" applyFont="1" applyBorder="1"/>
    <xf numFmtId="10" fontId="5" fillId="0" borderId="1" xfId="0" applyNumberFormat="1" applyFont="1" applyBorder="1"/>
    <xf numFmtId="9" fontId="0" fillId="0" borderId="1" xfId="0" applyNumberFormat="1" applyBorder="1"/>
    <xf numFmtId="167" fontId="0" fillId="0" borderId="1" xfId="0" applyNumberFormat="1" applyBorder="1"/>
    <xf numFmtId="9" fontId="8" fillId="8" borderId="1" xfId="0" applyNumberFormat="1" applyFont="1" applyFill="1" applyBorder="1"/>
    <xf numFmtId="166" fontId="8" fillId="9" borderId="1" xfId="0" applyNumberFormat="1" applyFont="1" applyFill="1" applyBorder="1"/>
    <xf numFmtId="9" fontId="0" fillId="10" borderId="0" xfId="0" applyNumberFormat="1" applyFill="1"/>
    <xf numFmtId="0" fontId="0" fillId="10" borderId="0" xfId="0" applyFill="1"/>
    <xf numFmtId="0" fontId="5" fillId="0" borderId="0" xfId="0" quotePrefix="1" applyFont="1" applyAlignment="1">
      <alignment horizontal="left"/>
    </xf>
    <xf numFmtId="0" fontId="0" fillId="0" borderId="1" xfId="0" applyBorder="1"/>
    <xf numFmtId="0" fontId="5" fillId="11" borderId="1" xfId="0" applyFont="1" applyFill="1" applyBorder="1"/>
    <xf numFmtId="0" fontId="0" fillId="11" borderId="1" xfId="0" applyFill="1" applyBorder="1"/>
    <xf numFmtId="0" fontId="5" fillId="0" borderId="0" xfId="0" applyFont="1" applyAlignment="1">
      <alignment horizontal="left"/>
    </xf>
    <xf numFmtId="0" fontId="5" fillId="10" borderId="0" xfId="0" quotePrefix="1" applyFont="1" applyFill="1" applyAlignment="1">
      <alignment horizontal="left"/>
    </xf>
    <xf numFmtId="10" fontId="0" fillId="0" borderId="1" xfId="2" applyNumberFormat="1" applyFont="1" applyBorder="1"/>
    <xf numFmtId="0" fontId="5" fillId="0" borderId="0" xfId="0" applyFont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5" fillId="0" borderId="0" xfId="0" quotePrefix="1" applyFont="1" applyAlignment="1">
      <alignment horizontal="left"/>
    </xf>
    <xf numFmtId="0" fontId="14" fillId="0" borderId="0" xfId="0" quotePrefix="1" applyFont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4" fillId="2" borderId="1" xfId="0" applyFont="1" applyFill="1" applyBorder="1"/>
    <xf numFmtId="0" fontId="0" fillId="2" borderId="1" xfId="0" applyFill="1" applyBorder="1" applyAlignment="1">
      <alignment horizontal="center"/>
    </xf>
    <xf numFmtId="0" fontId="7" fillId="0" borderId="1" xfId="0" quotePrefix="1" applyFont="1" applyBorder="1" applyAlignment="1">
      <alignment horizontal="center" vertical="center" wrapText="1"/>
    </xf>
    <xf numFmtId="0" fontId="9" fillId="3" borderId="1" xfId="0" quotePrefix="1" applyFont="1" applyFill="1" applyBorder="1" applyAlignment="1">
      <alignment horizontal="center" vertical="center"/>
    </xf>
    <xf numFmtId="10" fontId="0" fillId="0" borderId="0" xfId="0" applyNumberFormat="1"/>
    <xf numFmtId="168" fontId="0" fillId="0" borderId="0" xfId="0" applyNumberFormat="1"/>
    <xf numFmtId="0" fontId="0" fillId="12" borderId="0" xfId="0" applyFill="1" applyAlignment="1">
      <alignment vertical="center"/>
    </xf>
    <xf numFmtId="0" fontId="0" fillId="0" borderId="0" xfId="0" applyAlignment="1">
      <alignment vertical="center"/>
    </xf>
    <xf numFmtId="0" fontId="16" fillId="0" borderId="0" xfId="0" quotePrefix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5" fillId="0" borderId="0" xfId="0" applyFont="1" applyAlignment="1">
      <alignment vertical="center"/>
    </xf>
    <xf numFmtId="9" fontId="0" fillId="0" borderId="0" xfId="2" applyFont="1" applyAlignment="1">
      <alignment vertical="center"/>
    </xf>
    <xf numFmtId="10" fontId="0" fillId="0" borderId="0" xfId="0" applyNumberFormat="1" applyAlignment="1">
      <alignment vertical="center"/>
    </xf>
    <xf numFmtId="0" fontId="15" fillId="12" borderId="0" xfId="0" applyFont="1" applyFill="1" applyAlignment="1">
      <alignment vertical="center"/>
    </xf>
    <xf numFmtId="169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5" fillId="0" borderId="0" xfId="0" quotePrefix="1" applyFont="1" applyAlignment="1">
      <alignment horizontal="center" vertical="center" wrapText="1"/>
    </xf>
    <xf numFmtId="9" fontId="0" fillId="0" borderId="0" xfId="2" applyFont="1"/>
    <xf numFmtId="0" fontId="0" fillId="0" borderId="0" xfId="0" quotePrefix="1" applyAlignment="1">
      <alignment horizontal="left"/>
    </xf>
    <xf numFmtId="0" fontId="0" fillId="0" borderId="1" xfId="0" applyBorder="1" applyAlignment="1">
      <alignment horizontal="center" wrapText="1"/>
    </xf>
    <xf numFmtId="10" fontId="13" fillId="0" borderId="1" xfId="2" applyNumberFormat="1" applyFont="1" applyBorder="1"/>
    <xf numFmtId="10" fontId="0" fillId="0" borderId="1" xfId="0" applyNumberFormat="1" applyBorder="1"/>
    <xf numFmtId="0" fontId="0" fillId="3" borderId="1" xfId="0" applyFill="1" applyBorder="1"/>
    <xf numFmtId="10" fontId="13" fillId="3" borderId="1" xfId="2" applyNumberFormat="1" applyFont="1" applyFill="1" applyBorder="1"/>
    <xf numFmtId="10" fontId="0" fillId="3" borderId="1" xfId="0" applyNumberFormat="1" applyFill="1" applyBorder="1"/>
    <xf numFmtId="10" fontId="0" fillId="3" borderId="0" xfId="0" applyNumberFormat="1" applyFill="1"/>
    <xf numFmtId="0" fontId="0" fillId="0" borderId="0" xfId="0" quotePrefix="1" applyAlignment="1">
      <alignment horizontal="center" vertical="center" wrapText="1"/>
    </xf>
    <xf numFmtId="0" fontId="0" fillId="14" borderId="1" xfId="0" applyFill="1" applyBorder="1"/>
    <xf numFmtId="0" fontId="0" fillId="0" borderId="0" xfId="0" quotePrefix="1"/>
    <xf numFmtId="0" fontId="1" fillId="0" borderId="0" xfId="0" quotePrefix="1" applyFont="1" applyAlignment="1">
      <alignment horizontal="left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0" fillId="7" borderId="1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3" borderId="10" xfId="0" quotePrefix="1" applyFont="1" applyFill="1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0" fillId="3" borderId="15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16" fillId="3" borderId="0" xfId="0" applyFont="1" applyFill="1" applyAlignment="1">
      <alignment horizontal="center"/>
    </xf>
    <xf numFmtId="164" fontId="2" fillId="8" borderId="0" xfId="1" applyFont="1" applyFill="1" applyAlignment="1">
      <alignment horizontal="center" vertical="justify" wrapText="1"/>
    </xf>
    <xf numFmtId="9" fontId="17" fillId="3" borderId="0" xfId="0" applyNumberFormat="1" applyFont="1" applyFill="1" applyAlignment="1">
      <alignment horizontal="center"/>
    </xf>
    <xf numFmtId="0" fontId="5" fillId="13" borderId="0" xfId="0" quotePrefix="1" applyFont="1" applyFill="1" applyAlignment="1">
      <alignment horizontal="center" wrapText="1"/>
    </xf>
    <xf numFmtId="0" fontId="0" fillId="0" borderId="10" xfId="0" quotePrefix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5" fillId="14" borderId="1" xfId="0" quotePrefix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12" borderId="0" xfId="0" quotePrefix="1" applyFont="1" applyFill="1" applyAlignment="1">
      <alignment horizontal="right" vertical="center"/>
    </xf>
    <xf numFmtId="0" fontId="5" fillId="3" borderId="10" xfId="0" quotePrefix="1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 vertical="center"/>
    </xf>
  </cellXfs>
  <cellStyles count="3">
    <cellStyle name="Monétaire" xfId="1" builtinId="4"/>
    <cellStyle name="Normal" xfId="0" builtinId="0"/>
    <cellStyle name="Pourcentage" xfId="2" builtinId="5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227397744741905E-2"/>
          <c:y val="3.6697234007208493E-2"/>
          <c:w val="0.78504657970267711"/>
          <c:h val="0.853210690667597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'Arivées de Poisson'!$B$6</c:f>
              <c:strCache>
                <c:ptCount val="1"/>
                <c:pt idx="0">
                  <c:v>P(T&gt;t)</c:v>
                </c:pt>
              </c:strCache>
            </c:strRef>
          </c:tx>
          <c:spPr>
            <a:ln w="254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'Arivées de Poisson'!$A$7:$A$79</c:f>
              <c:numCache>
                <c:formatCode>General</c:formatCode>
                <c:ptCount val="7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1.1000000000000003</c:v>
                </c:pt>
                <c:pt idx="22">
                  <c:v>1.2000000000000004</c:v>
                </c:pt>
                <c:pt idx="23">
                  <c:v>1.3000000000000005</c:v>
                </c:pt>
                <c:pt idx="24">
                  <c:v>1.4000000000000006</c:v>
                </c:pt>
                <c:pt idx="25">
                  <c:v>1.5000000000000007</c:v>
                </c:pt>
                <c:pt idx="26">
                  <c:v>1.6000000000000008</c:v>
                </c:pt>
                <c:pt idx="27">
                  <c:v>1.7000000000000008</c:v>
                </c:pt>
                <c:pt idx="28">
                  <c:v>1.8000000000000009</c:v>
                </c:pt>
                <c:pt idx="29">
                  <c:v>1.900000000000001</c:v>
                </c:pt>
                <c:pt idx="30">
                  <c:v>2.0000000000000009</c:v>
                </c:pt>
                <c:pt idx="31">
                  <c:v>2.100000000000001</c:v>
                </c:pt>
                <c:pt idx="32">
                  <c:v>2.2000000000000011</c:v>
                </c:pt>
                <c:pt idx="33">
                  <c:v>2.3000000000000012</c:v>
                </c:pt>
                <c:pt idx="34">
                  <c:v>2.4000000000000012</c:v>
                </c:pt>
                <c:pt idx="35">
                  <c:v>2.5000000000000013</c:v>
                </c:pt>
                <c:pt idx="36">
                  <c:v>2.6000000000000014</c:v>
                </c:pt>
                <c:pt idx="37">
                  <c:v>2.7000000000000015</c:v>
                </c:pt>
                <c:pt idx="38">
                  <c:v>2.8000000000000016</c:v>
                </c:pt>
                <c:pt idx="39">
                  <c:v>2.9000000000000017</c:v>
                </c:pt>
                <c:pt idx="40">
                  <c:v>3.0000000000000018</c:v>
                </c:pt>
                <c:pt idx="41">
                  <c:v>3.200000000000002</c:v>
                </c:pt>
                <c:pt idx="42">
                  <c:v>3.4000000000000021</c:v>
                </c:pt>
                <c:pt idx="43">
                  <c:v>3.6000000000000023</c:v>
                </c:pt>
                <c:pt idx="44">
                  <c:v>3.8000000000000025</c:v>
                </c:pt>
                <c:pt idx="45">
                  <c:v>4.0000000000000027</c:v>
                </c:pt>
                <c:pt idx="46">
                  <c:v>4.2000000000000028</c:v>
                </c:pt>
                <c:pt idx="47">
                  <c:v>4.400000000000003</c:v>
                </c:pt>
                <c:pt idx="48">
                  <c:v>4.6000000000000032</c:v>
                </c:pt>
                <c:pt idx="49">
                  <c:v>4.8000000000000034</c:v>
                </c:pt>
                <c:pt idx="50">
                  <c:v>5.0000000000000036</c:v>
                </c:pt>
                <c:pt idx="51">
                  <c:v>5.5000000000000036</c:v>
                </c:pt>
                <c:pt idx="52">
                  <c:v>6.0000000000000036</c:v>
                </c:pt>
                <c:pt idx="53">
                  <c:v>6.5000000000000036</c:v>
                </c:pt>
                <c:pt idx="54">
                  <c:v>7.0000000000000036</c:v>
                </c:pt>
                <c:pt idx="55">
                  <c:v>7.5000000000000036</c:v>
                </c:pt>
                <c:pt idx="56">
                  <c:v>8.0000000000000036</c:v>
                </c:pt>
                <c:pt idx="57">
                  <c:v>8.5000000000000036</c:v>
                </c:pt>
                <c:pt idx="58">
                  <c:v>9.0000000000000036</c:v>
                </c:pt>
                <c:pt idx="59">
                  <c:v>9.5000000000000036</c:v>
                </c:pt>
                <c:pt idx="60">
                  <c:v>10.000000000000004</c:v>
                </c:pt>
                <c:pt idx="61">
                  <c:v>10.500000000000004</c:v>
                </c:pt>
                <c:pt idx="62">
                  <c:v>11.000000000000004</c:v>
                </c:pt>
                <c:pt idx="63">
                  <c:v>11.500000000000004</c:v>
                </c:pt>
                <c:pt idx="64">
                  <c:v>12.000000000000004</c:v>
                </c:pt>
                <c:pt idx="65">
                  <c:v>12.500000000000004</c:v>
                </c:pt>
                <c:pt idx="66">
                  <c:v>13.000000000000004</c:v>
                </c:pt>
                <c:pt idx="67">
                  <c:v>13.500000000000004</c:v>
                </c:pt>
                <c:pt idx="68">
                  <c:v>14.000000000000004</c:v>
                </c:pt>
                <c:pt idx="69">
                  <c:v>14.500000000000004</c:v>
                </c:pt>
                <c:pt idx="70">
                  <c:v>15.000000000000004</c:v>
                </c:pt>
                <c:pt idx="71">
                  <c:v>15.500000000000004</c:v>
                </c:pt>
                <c:pt idx="72">
                  <c:v>16.000000000000004</c:v>
                </c:pt>
              </c:numCache>
            </c:numRef>
          </c:xVal>
          <c:yVal>
            <c:numRef>
              <c:f>'Arivées de Poisson'!$B$7:$B$79</c:f>
              <c:numCache>
                <c:formatCode>0.00%</c:formatCode>
                <c:ptCount val="73"/>
                <c:pt idx="0">
                  <c:v>1</c:v>
                </c:pt>
                <c:pt idx="1">
                  <c:v>0.81873075307798182</c:v>
                </c:pt>
                <c:pt idx="2">
                  <c:v>0.67032004603563933</c:v>
                </c:pt>
                <c:pt idx="3">
                  <c:v>0.54881163609402639</c:v>
                </c:pt>
                <c:pt idx="4">
                  <c:v>0.44932896411722156</c:v>
                </c:pt>
                <c:pt idx="5">
                  <c:v>0.36787944117144233</c:v>
                </c:pt>
                <c:pt idx="6">
                  <c:v>0.30119421191220214</c:v>
                </c:pt>
                <c:pt idx="7">
                  <c:v>0.24659696394160649</c:v>
                </c:pt>
                <c:pt idx="8">
                  <c:v>0.20189651799465544</c:v>
                </c:pt>
                <c:pt idx="9">
                  <c:v>0.16529888822158656</c:v>
                </c:pt>
                <c:pt idx="10">
                  <c:v>0.13533528323661273</c:v>
                </c:pt>
                <c:pt idx="11">
                  <c:v>0.11080315836233391</c:v>
                </c:pt>
                <c:pt idx="12">
                  <c:v>9.0717953289412512E-2</c:v>
                </c:pt>
                <c:pt idx="13">
                  <c:v>7.4273578214333877E-2</c:v>
                </c:pt>
                <c:pt idx="14">
                  <c:v>6.0810062625217952E-2</c:v>
                </c:pt>
                <c:pt idx="15">
                  <c:v>4.9787068367863924E-2</c:v>
                </c:pt>
                <c:pt idx="16">
                  <c:v>4.076220397836619E-2</c:v>
                </c:pt>
                <c:pt idx="17">
                  <c:v>3.3373269960326052E-2</c:v>
                </c:pt>
                <c:pt idx="18">
                  <c:v>2.7323722447292535E-2</c:v>
                </c:pt>
                <c:pt idx="19">
                  <c:v>2.237077185616557E-2</c:v>
                </c:pt>
                <c:pt idx="20">
                  <c:v>1.8315638888734165E-2</c:v>
                </c:pt>
                <c:pt idx="21">
                  <c:v>1.2277339903068426E-2</c:v>
                </c:pt>
                <c:pt idx="22">
                  <c:v>8.2297470490200163E-3</c:v>
                </c:pt>
                <c:pt idx="23">
                  <c:v>5.516564420760762E-3</c:v>
                </c:pt>
                <c:pt idx="24">
                  <c:v>3.6978637164829225E-3</c:v>
                </c:pt>
                <c:pt idx="25">
                  <c:v>2.478752176666352E-3</c:v>
                </c:pt>
                <c:pt idx="26">
                  <c:v>1.6615572731739296E-3</c:v>
                </c:pt>
                <c:pt idx="27">
                  <c:v>1.1137751478447993E-3</c:v>
                </c:pt>
                <c:pt idx="28">
                  <c:v>7.465858083766766E-4</c:v>
                </c:pt>
                <c:pt idx="29">
                  <c:v>5.0045143344060866E-4</c:v>
                </c:pt>
                <c:pt idx="30">
                  <c:v>3.3546262790251066E-4</c:v>
                </c:pt>
                <c:pt idx="31">
                  <c:v>2.2486732417884738E-4</c:v>
                </c:pt>
                <c:pt idx="32">
                  <c:v>1.5073307509547596E-4</c:v>
                </c:pt>
                <c:pt idx="33">
                  <c:v>1.0103940183709289E-4</c:v>
                </c:pt>
                <c:pt idx="34">
                  <c:v>6.7728736490853532E-5</c:v>
                </c:pt>
                <c:pt idx="35">
                  <c:v>4.539992976248461E-5</c:v>
                </c:pt>
                <c:pt idx="36">
                  <c:v>3.0432483008403462E-5</c:v>
                </c:pt>
                <c:pt idx="37">
                  <c:v>2.0399503411171814E-5</c:v>
                </c:pt>
                <c:pt idx="38">
                  <c:v>1.3674196065680865E-5</c:v>
                </c:pt>
                <c:pt idx="39">
                  <c:v>9.1660877362475528E-6</c:v>
                </c:pt>
                <c:pt idx="40">
                  <c:v>6.1442123533281658E-6</c:v>
                </c:pt>
                <c:pt idx="41">
                  <c:v>2.7607725720371792E-6</c:v>
                </c:pt>
                <c:pt idx="42">
                  <c:v>1.2404950799567024E-6</c:v>
                </c:pt>
                <c:pt idx="43">
                  <c:v>5.5739036926945469E-7</c:v>
                </c:pt>
                <c:pt idx="44">
                  <c:v>2.504516372327595E-7</c:v>
                </c:pt>
                <c:pt idx="45">
                  <c:v>1.1253517471925791E-7</c:v>
                </c:pt>
                <c:pt idx="46">
                  <c:v>5.0565313483354667E-8</c:v>
                </c:pt>
                <c:pt idx="47">
                  <c:v>2.2720459927738314E-8</c:v>
                </c:pt>
                <c:pt idx="48">
                  <c:v>1.0208960723597492E-8</c:v>
                </c:pt>
                <c:pt idx="49">
                  <c:v>4.5871817466474593E-9</c:v>
                </c:pt>
                <c:pt idx="50">
                  <c:v>2.0611536224385285E-9</c:v>
                </c:pt>
                <c:pt idx="51">
                  <c:v>2.7894680928688853E-10</c:v>
                </c:pt>
                <c:pt idx="52">
                  <c:v>3.7751345442790441E-11</c:v>
                </c:pt>
                <c:pt idx="53">
                  <c:v>5.1090890280632524E-12</c:v>
                </c:pt>
                <c:pt idx="54">
                  <c:v>6.9144001069401051E-13</c:v>
                </c:pt>
                <c:pt idx="55">
                  <c:v>9.357622968840041E-14</c:v>
                </c:pt>
                <c:pt idx="56">
                  <c:v>1.2664165549093996E-14</c:v>
                </c:pt>
                <c:pt idx="57">
                  <c:v>1.7139084315419885E-15</c:v>
                </c:pt>
                <c:pt idx="58">
                  <c:v>2.3195228302435366E-16</c:v>
                </c:pt>
                <c:pt idx="59">
                  <c:v>3.1391327920479852E-17</c:v>
                </c:pt>
                <c:pt idx="60">
                  <c:v>4.2483542552915288E-18</c:v>
                </c:pt>
                <c:pt idx="61">
                  <c:v>5.749522264293478E-19</c:v>
                </c:pt>
                <c:pt idx="62">
                  <c:v>7.7811322411336859E-20</c:v>
                </c:pt>
                <c:pt idx="63">
                  <c:v>1.0530617357553663E-20</c:v>
                </c:pt>
                <c:pt idx="64">
                  <c:v>1.4251640827409148E-21</c:v>
                </c:pt>
                <c:pt idx="65">
                  <c:v>1.9287498479638903E-22</c:v>
                </c:pt>
                <c:pt idx="66">
                  <c:v>2.6102790696676677E-23</c:v>
                </c:pt>
                <c:pt idx="67">
                  <c:v>3.5326285722007572E-24</c:v>
                </c:pt>
                <c:pt idx="68">
                  <c:v>4.7808928838854009E-25</c:v>
                </c:pt>
                <c:pt idx="69">
                  <c:v>6.470234925645368E-26</c:v>
                </c:pt>
                <c:pt idx="70">
                  <c:v>8.7565107626963952E-27</c:v>
                </c:pt>
                <c:pt idx="71">
                  <c:v>1.1850648642339641E-27</c:v>
                </c:pt>
                <c:pt idx="72">
                  <c:v>1.6038108905486151E-28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BF-4231-8A08-7B211B268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670264"/>
        <c:axId val="302669088"/>
      </c:scatterChart>
      <c:valAx>
        <c:axId val="302670264"/>
        <c:scaling>
          <c:orientation val="minMax"/>
          <c:max val="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MA"/>
                  <a:t>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302669088"/>
        <c:crosses val="autoZero"/>
        <c:crossBetween val="midCat"/>
      </c:valAx>
      <c:valAx>
        <c:axId val="302669088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MA"/>
                  <a:t>P(T&gt;t)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302670264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90268582406580622"/>
          <c:y val="0.4675324115803019"/>
          <c:w val="7.9408366479963188E-2"/>
          <c:h val="5.042023094845327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 alignWithMargins="0"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782608695652174E-2"/>
          <c:y val="4.0955682588460468E-2"/>
          <c:w val="0.81739130434782614"/>
          <c:h val="0.83617851951440114"/>
        </c:manualLayout>
      </c:layout>
      <c:scatterChart>
        <c:scatterStyle val="lineMarker"/>
        <c:varyColors val="0"/>
        <c:ser>
          <c:idx val="0"/>
          <c:order val="0"/>
          <c:tx>
            <c:strRef>
              <c:f>'Monte Carlo'!$B$3</c:f>
              <c:strCache>
                <c:ptCount val="1"/>
                <c:pt idx="0">
                  <c:v>P(T&lt;t)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none"/>
          </c:marker>
          <c:xVal>
            <c:numRef>
              <c:f>'Monte Carlo'!$A$4:$A$26</c:f>
              <c:numCache>
                <c:formatCode>0.0000</c:formatCode>
                <c:ptCount val="23"/>
                <c:pt idx="0">
                  <c:v>-3.0902323061678132</c:v>
                </c:pt>
                <c:pt idx="1">
                  <c:v>-1.9599639845400538</c:v>
                </c:pt>
                <c:pt idx="2">
                  <c:v>-1.6448536269514726</c:v>
                </c:pt>
                <c:pt idx="3">
                  <c:v>-1.2815515655446006</c:v>
                </c:pt>
                <c:pt idx="4">
                  <c:v>-1.0364333894937898</c:v>
                </c:pt>
                <c:pt idx="5">
                  <c:v>-0.84162123357291452</c:v>
                </c:pt>
                <c:pt idx="6">
                  <c:v>-0.67448975019608193</c:v>
                </c:pt>
                <c:pt idx="7">
                  <c:v>-0.52440051270804089</c:v>
                </c:pt>
                <c:pt idx="8">
                  <c:v>-0.38532046640756784</c:v>
                </c:pt>
                <c:pt idx="9">
                  <c:v>-0.25334710313579989</c:v>
                </c:pt>
                <c:pt idx="10">
                  <c:v>-0.12566134685507416</c:v>
                </c:pt>
                <c:pt idx="11">
                  <c:v>-1.3914582123358836E-16</c:v>
                </c:pt>
                <c:pt idx="12">
                  <c:v>0.12566134685507385</c:v>
                </c:pt>
                <c:pt idx="13">
                  <c:v>0.25334710313579978</c:v>
                </c:pt>
                <c:pt idx="14">
                  <c:v>0.38532046640756784</c:v>
                </c:pt>
                <c:pt idx="15">
                  <c:v>0.524400512708041</c:v>
                </c:pt>
                <c:pt idx="16">
                  <c:v>0.67448975019608215</c:v>
                </c:pt>
                <c:pt idx="17">
                  <c:v>0.84162123357291396</c:v>
                </c:pt>
                <c:pt idx="18">
                  <c:v>1.0364333894937894</c:v>
                </c:pt>
                <c:pt idx="19">
                  <c:v>1.2815515655446028</c:v>
                </c:pt>
                <c:pt idx="20">
                  <c:v>1.6448536269514753</c:v>
                </c:pt>
                <c:pt idx="21">
                  <c:v>2.3263478740408532</c:v>
                </c:pt>
                <c:pt idx="22">
                  <c:v>3.0902323061678132</c:v>
                </c:pt>
              </c:numCache>
            </c:numRef>
          </c:xVal>
          <c:yVal>
            <c:numRef>
              <c:f>'Monte Carlo'!$B$4:$B$26</c:f>
              <c:numCache>
                <c:formatCode>0%</c:formatCode>
                <c:ptCount val="23"/>
                <c:pt idx="0" formatCode="0.00%">
                  <c:v>1E-3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0.15000000000000002</c:v>
                </c:pt>
                <c:pt idx="5">
                  <c:v>0.2</c:v>
                </c:pt>
                <c:pt idx="6">
                  <c:v>0.25</c:v>
                </c:pt>
                <c:pt idx="7">
                  <c:v>0.3</c:v>
                </c:pt>
                <c:pt idx="8">
                  <c:v>0.35</c:v>
                </c:pt>
                <c:pt idx="9">
                  <c:v>0.39999999999999997</c:v>
                </c:pt>
                <c:pt idx="10">
                  <c:v>0.44999999999999996</c:v>
                </c:pt>
                <c:pt idx="11">
                  <c:v>0.49999999999999994</c:v>
                </c:pt>
                <c:pt idx="12">
                  <c:v>0.54999999999999993</c:v>
                </c:pt>
                <c:pt idx="13">
                  <c:v>0.6</c:v>
                </c:pt>
                <c:pt idx="14">
                  <c:v>0.65</c:v>
                </c:pt>
                <c:pt idx="15">
                  <c:v>0.70000000000000007</c:v>
                </c:pt>
                <c:pt idx="16">
                  <c:v>0.75000000000000011</c:v>
                </c:pt>
                <c:pt idx="17">
                  <c:v>0.80000000000000016</c:v>
                </c:pt>
                <c:pt idx="18">
                  <c:v>0.8500000000000002</c:v>
                </c:pt>
                <c:pt idx="19">
                  <c:v>0.90000000000000024</c:v>
                </c:pt>
                <c:pt idx="20">
                  <c:v>0.95000000000000029</c:v>
                </c:pt>
                <c:pt idx="21">
                  <c:v>0.99000000000000032</c:v>
                </c:pt>
                <c:pt idx="22" formatCode="0.0%">
                  <c:v>0.999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13-4C1E-AE6A-DDB5AD443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670656"/>
        <c:axId val="302666736"/>
      </c:scatterChart>
      <c:valAx>
        <c:axId val="302670656"/>
        <c:scaling>
          <c:orientation val="minMax"/>
        </c:scaling>
        <c:delete val="0"/>
        <c:axPos val="b"/>
        <c:numFmt formatCode="0.0" sourceLinked="0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302666736"/>
        <c:crosses val="autoZero"/>
        <c:crossBetween val="midCat"/>
      </c:valAx>
      <c:valAx>
        <c:axId val="302666736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302670656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9308991931564108"/>
          <c:y val="0.4654731050184992"/>
          <c:w val="8.9960843783415956E-2"/>
          <c:h val="5.626588242734714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 alignWithMargins="0"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69090554328185E-2"/>
          <c:y val="4.9699134830368426E-2"/>
          <c:w val="0.75555819911000333"/>
          <c:h val="0.86548337707786527"/>
        </c:manualLayout>
      </c:layout>
      <c:scatterChart>
        <c:scatterStyle val="lineMarker"/>
        <c:varyColors val="0"/>
        <c:ser>
          <c:idx val="0"/>
          <c:order val="0"/>
          <c:tx>
            <c:strRef>
              <c:f>ERLANG!$B$3</c:f>
              <c:strCache>
                <c:ptCount val="1"/>
                <c:pt idx="0">
                  <c:v>a=1 ; l = 4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none"/>
          </c:marker>
          <c:xVal>
            <c:numRef>
              <c:f>ERLANG!$A$4:$A$84</c:f>
              <c:numCache>
                <c:formatCode>General</c:formatCode>
                <c:ptCount val="8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1.1000000000000003</c:v>
                </c:pt>
                <c:pt idx="22">
                  <c:v>1.2000000000000004</c:v>
                </c:pt>
                <c:pt idx="23">
                  <c:v>1.3000000000000005</c:v>
                </c:pt>
                <c:pt idx="24">
                  <c:v>1.4000000000000006</c:v>
                </c:pt>
                <c:pt idx="25">
                  <c:v>1.5000000000000007</c:v>
                </c:pt>
                <c:pt idx="26">
                  <c:v>1.6000000000000008</c:v>
                </c:pt>
                <c:pt idx="27">
                  <c:v>1.7000000000000008</c:v>
                </c:pt>
                <c:pt idx="28">
                  <c:v>1.8000000000000009</c:v>
                </c:pt>
                <c:pt idx="29">
                  <c:v>1.900000000000001</c:v>
                </c:pt>
                <c:pt idx="30">
                  <c:v>2.0000000000000009</c:v>
                </c:pt>
                <c:pt idx="31">
                  <c:v>2.100000000000001</c:v>
                </c:pt>
                <c:pt idx="32">
                  <c:v>2.2000000000000011</c:v>
                </c:pt>
                <c:pt idx="33">
                  <c:v>2.3000000000000012</c:v>
                </c:pt>
                <c:pt idx="34">
                  <c:v>2.4000000000000012</c:v>
                </c:pt>
                <c:pt idx="35">
                  <c:v>2.5000000000000013</c:v>
                </c:pt>
                <c:pt idx="36">
                  <c:v>2.6000000000000014</c:v>
                </c:pt>
                <c:pt idx="37">
                  <c:v>2.7000000000000015</c:v>
                </c:pt>
                <c:pt idx="38">
                  <c:v>2.8000000000000016</c:v>
                </c:pt>
                <c:pt idx="39">
                  <c:v>2.9000000000000017</c:v>
                </c:pt>
                <c:pt idx="40">
                  <c:v>3.0000000000000018</c:v>
                </c:pt>
                <c:pt idx="41">
                  <c:v>3.200000000000002</c:v>
                </c:pt>
                <c:pt idx="42">
                  <c:v>3.4000000000000021</c:v>
                </c:pt>
                <c:pt idx="43">
                  <c:v>3.6000000000000023</c:v>
                </c:pt>
                <c:pt idx="44">
                  <c:v>3.8000000000000025</c:v>
                </c:pt>
                <c:pt idx="45">
                  <c:v>4.0000000000000027</c:v>
                </c:pt>
                <c:pt idx="46">
                  <c:v>4.2000000000000028</c:v>
                </c:pt>
                <c:pt idx="47">
                  <c:v>4.400000000000003</c:v>
                </c:pt>
                <c:pt idx="48">
                  <c:v>4.6000000000000032</c:v>
                </c:pt>
                <c:pt idx="49">
                  <c:v>4.8000000000000034</c:v>
                </c:pt>
                <c:pt idx="50">
                  <c:v>5.0000000000000036</c:v>
                </c:pt>
                <c:pt idx="51">
                  <c:v>5.5000000000000036</c:v>
                </c:pt>
                <c:pt idx="52">
                  <c:v>6.0000000000000036</c:v>
                </c:pt>
                <c:pt idx="53">
                  <c:v>6.5000000000000036</c:v>
                </c:pt>
                <c:pt idx="54">
                  <c:v>7.0000000000000036</c:v>
                </c:pt>
                <c:pt idx="55">
                  <c:v>7.5000000000000036</c:v>
                </c:pt>
                <c:pt idx="56">
                  <c:v>8.0000000000000036</c:v>
                </c:pt>
                <c:pt idx="57">
                  <c:v>8.5000000000000036</c:v>
                </c:pt>
                <c:pt idx="58">
                  <c:v>9.0000000000000036</c:v>
                </c:pt>
                <c:pt idx="59">
                  <c:v>9.5000000000000036</c:v>
                </c:pt>
                <c:pt idx="60">
                  <c:v>10.000000000000004</c:v>
                </c:pt>
                <c:pt idx="61">
                  <c:v>10.500000000000004</c:v>
                </c:pt>
                <c:pt idx="62">
                  <c:v>11.000000000000004</c:v>
                </c:pt>
                <c:pt idx="63">
                  <c:v>11.500000000000004</c:v>
                </c:pt>
                <c:pt idx="64">
                  <c:v>12.000000000000004</c:v>
                </c:pt>
                <c:pt idx="65">
                  <c:v>12.500000000000004</c:v>
                </c:pt>
                <c:pt idx="66">
                  <c:v>13.000000000000004</c:v>
                </c:pt>
                <c:pt idx="67">
                  <c:v>13.500000000000004</c:v>
                </c:pt>
                <c:pt idx="68">
                  <c:v>14.000000000000004</c:v>
                </c:pt>
                <c:pt idx="69">
                  <c:v>14.500000000000004</c:v>
                </c:pt>
                <c:pt idx="70">
                  <c:v>15.000000000000004</c:v>
                </c:pt>
                <c:pt idx="71">
                  <c:v>15.500000000000004</c:v>
                </c:pt>
                <c:pt idx="72">
                  <c:v>16.000000000000004</c:v>
                </c:pt>
                <c:pt idx="73">
                  <c:v>16.500000000000004</c:v>
                </c:pt>
                <c:pt idx="74">
                  <c:v>17.000000000000004</c:v>
                </c:pt>
                <c:pt idx="75">
                  <c:v>17.500000000000004</c:v>
                </c:pt>
                <c:pt idx="76">
                  <c:v>18.000000000000004</c:v>
                </c:pt>
                <c:pt idx="77">
                  <c:v>18.500000000000004</c:v>
                </c:pt>
                <c:pt idx="78">
                  <c:v>19.000000000000004</c:v>
                </c:pt>
                <c:pt idx="79">
                  <c:v>19.500000000000004</c:v>
                </c:pt>
                <c:pt idx="80">
                  <c:v>20.000000000000004</c:v>
                </c:pt>
              </c:numCache>
            </c:numRef>
          </c:xVal>
          <c:yVal>
            <c:numRef>
              <c:f>ERLANG!$B$4:$B$84</c:f>
              <c:numCache>
                <c:formatCode>0.00%</c:formatCode>
                <c:ptCount val="81"/>
                <c:pt idx="0">
                  <c:v>1</c:v>
                </c:pt>
                <c:pt idx="1">
                  <c:v>0.98757780049388144</c:v>
                </c:pt>
                <c:pt idx="2">
                  <c:v>0.97530991202833262</c:v>
                </c:pt>
                <c:pt idx="3">
                  <c:v>0.96319441772082182</c:v>
                </c:pt>
                <c:pt idx="4">
                  <c:v>0.95122942450071402</c:v>
                </c:pt>
                <c:pt idx="5">
                  <c:v>0.93941306281347581</c:v>
                </c:pt>
                <c:pt idx="6">
                  <c:v>0.92774348632855286</c:v>
                </c:pt>
                <c:pt idx="7">
                  <c:v>0.91621887165087768</c:v>
                </c:pt>
                <c:pt idx="8">
                  <c:v>0.90483741803595952</c:v>
                </c:pt>
                <c:pt idx="9">
                  <c:v>0.89359734710851568</c:v>
                </c:pt>
                <c:pt idx="10">
                  <c:v>0.88249690258459546</c:v>
                </c:pt>
                <c:pt idx="11">
                  <c:v>0.87153434999715795</c:v>
                </c:pt>
                <c:pt idx="12">
                  <c:v>0.86070797642505781</c:v>
                </c:pt>
                <c:pt idx="13">
                  <c:v>0.85001609022539815</c:v>
                </c:pt>
                <c:pt idx="14">
                  <c:v>0.83945702076920736</c:v>
                </c:pt>
                <c:pt idx="15">
                  <c:v>0.82902911818040037</c:v>
                </c:pt>
                <c:pt idx="16">
                  <c:v>0.81873075307798182</c:v>
                </c:pt>
                <c:pt idx="17">
                  <c:v>0.80856031632145242</c:v>
                </c:pt>
                <c:pt idx="18">
                  <c:v>0.79851621875937706</c:v>
                </c:pt>
                <c:pt idx="19">
                  <c:v>0.78859689098107655</c:v>
                </c:pt>
                <c:pt idx="20">
                  <c:v>0.77880078307140477</c:v>
                </c:pt>
                <c:pt idx="21">
                  <c:v>0.75957212322496837</c:v>
                </c:pt>
                <c:pt idx="22">
                  <c:v>0.74081822068171777</c:v>
                </c:pt>
                <c:pt idx="23">
                  <c:v>0.7225273536420721</c:v>
                </c:pt>
                <c:pt idx="24">
                  <c:v>0.70468808971871333</c:v>
                </c:pt>
                <c:pt idx="25">
                  <c:v>0.68728927879097212</c:v>
                </c:pt>
                <c:pt idx="26">
                  <c:v>0.67032004603563911</c:v>
                </c:pt>
                <c:pt idx="27">
                  <c:v>0.65376978512984718</c:v>
                </c:pt>
                <c:pt idx="28">
                  <c:v>0.63762815162177322</c:v>
                </c:pt>
                <c:pt idx="29">
                  <c:v>0.6218850564650199</c:v>
                </c:pt>
                <c:pt idx="30">
                  <c:v>0.60653065971263331</c:v>
                </c:pt>
                <c:pt idx="31">
                  <c:v>0.591555364366815</c:v>
                </c:pt>
                <c:pt idx="32">
                  <c:v>0.57694981038048654</c:v>
                </c:pt>
                <c:pt idx="33">
                  <c:v>0.56270486880695558</c:v>
                </c:pt>
                <c:pt idx="34">
                  <c:v>0.54881163609402628</c:v>
                </c:pt>
                <c:pt idx="35">
                  <c:v>0.53526142851899006</c:v>
                </c:pt>
                <c:pt idx="36">
                  <c:v>0.52204577676101593</c:v>
                </c:pt>
                <c:pt idx="37">
                  <c:v>0.50915642060754895</c:v>
                </c:pt>
                <c:pt idx="38">
                  <c:v>0.4965853037914093</c:v>
                </c:pt>
                <c:pt idx="39">
                  <c:v>0.48432456895536224</c:v>
                </c:pt>
                <c:pt idx="40">
                  <c:v>0.47236655274101458</c:v>
                </c:pt>
                <c:pt idx="41">
                  <c:v>0.44932896411722134</c:v>
                </c:pt>
                <c:pt idx="42">
                  <c:v>0.42741493194872637</c:v>
                </c:pt>
                <c:pt idx="43">
                  <c:v>0.40656965974059889</c:v>
                </c:pt>
                <c:pt idx="44">
                  <c:v>0.38674102345450101</c:v>
                </c:pt>
                <c:pt idx="45">
                  <c:v>0.36787944117144211</c:v>
                </c:pt>
                <c:pt idx="46">
                  <c:v>0.34993774911115505</c:v>
                </c:pt>
                <c:pt idx="47">
                  <c:v>0.33287108369807927</c:v>
                </c:pt>
                <c:pt idx="48">
                  <c:v>0.31663676937905294</c:v>
                </c:pt>
                <c:pt idx="49">
                  <c:v>0.30119421191220186</c:v>
                </c:pt>
                <c:pt idx="50">
                  <c:v>0.28650479686018993</c:v>
                </c:pt>
                <c:pt idx="51">
                  <c:v>0.25283959580474624</c:v>
                </c:pt>
                <c:pt idx="52">
                  <c:v>0.22313016014842968</c:v>
                </c:pt>
                <c:pt idx="53">
                  <c:v>0.19691167520419384</c:v>
                </c:pt>
                <c:pt idx="54">
                  <c:v>0.17377394345044495</c:v>
                </c:pt>
                <c:pt idx="55">
                  <c:v>0.15335496684492833</c:v>
                </c:pt>
                <c:pt idx="56">
                  <c:v>0.13533528323661259</c:v>
                </c:pt>
                <c:pt idx="57">
                  <c:v>0.11943296826671945</c:v>
                </c:pt>
                <c:pt idx="58">
                  <c:v>0.10539922456186424</c:v>
                </c:pt>
                <c:pt idx="59">
                  <c:v>9.3014489210663465E-2</c:v>
                </c:pt>
                <c:pt idx="60">
                  <c:v>8.2084998623898731E-2</c:v>
                </c:pt>
                <c:pt idx="61">
                  <c:v>7.2439757034251429E-2</c:v>
                </c:pt>
                <c:pt idx="62">
                  <c:v>6.392786120670757E-2</c:v>
                </c:pt>
                <c:pt idx="63">
                  <c:v>5.6416139503777329E-2</c:v>
                </c:pt>
                <c:pt idx="64">
                  <c:v>4.978706836786384E-2</c:v>
                </c:pt>
                <c:pt idx="65">
                  <c:v>4.3936933623407337E-2</c:v>
                </c:pt>
                <c:pt idx="66">
                  <c:v>3.8774207831721919E-2</c:v>
                </c:pt>
                <c:pt idx="67">
                  <c:v>3.421811831166599E-2</c:v>
                </c:pt>
                <c:pt idx="68">
                  <c:v>3.019738342231848E-2</c:v>
                </c:pt>
                <c:pt idx="69">
                  <c:v>2.6649097336355454E-2</c:v>
                </c:pt>
                <c:pt idx="70">
                  <c:v>2.3517745856009076E-2</c:v>
                </c:pt>
                <c:pt idx="71">
                  <c:v>2.0754337873699735E-2</c:v>
                </c:pt>
                <c:pt idx="72">
                  <c:v>1.831563888873422E-2</c:v>
                </c:pt>
                <c:pt idx="73">
                  <c:v>1.6163494588165905E-2</c:v>
                </c:pt>
                <c:pt idx="74">
                  <c:v>1.4264233908999224E-2</c:v>
                </c:pt>
                <c:pt idx="75">
                  <c:v>1.2588142242433986E-2</c:v>
                </c:pt>
                <c:pt idx="76">
                  <c:v>1.1108996538242266E-2</c:v>
                </c:pt>
                <c:pt idx="77">
                  <c:v>9.8036550358218122E-3</c:v>
                </c:pt>
                <c:pt idx="78">
                  <c:v>8.6516952031205907E-3</c:v>
                </c:pt>
                <c:pt idx="79">
                  <c:v>7.6350942188599946E-3</c:v>
                </c:pt>
                <c:pt idx="80">
                  <c:v>6.7379469990854757E-3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D3-4CF8-A6E1-F633FBAA37E8}"/>
            </c:ext>
          </c:extLst>
        </c:ser>
        <c:ser>
          <c:idx val="1"/>
          <c:order val="1"/>
          <c:tx>
            <c:strRef>
              <c:f>ERLANG!$C$3</c:f>
              <c:strCache>
                <c:ptCount val="1"/>
                <c:pt idx="0">
                  <c:v>a=2 ; l = 4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ERLANG!$A$4:$A$84</c:f>
              <c:numCache>
                <c:formatCode>General</c:formatCode>
                <c:ptCount val="8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1.1000000000000003</c:v>
                </c:pt>
                <c:pt idx="22">
                  <c:v>1.2000000000000004</c:v>
                </c:pt>
                <c:pt idx="23">
                  <c:v>1.3000000000000005</c:v>
                </c:pt>
                <c:pt idx="24">
                  <c:v>1.4000000000000006</c:v>
                </c:pt>
                <c:pt idx="25">
                  <c:v>1.5000000000000007</c:v>
                </c:pt>
                <c:pt idx="26">
                  <c:v>1.6000000000000008</c:v>
                </c:pt>
                <c:pt idx="27">
                  <c:v>1.7000000000000008</c:v>
                </c:pt>
                <c:pt idx="28">
                  <c:v>1.8000000000000009</c:v>
                </c:pt>
                <c:pt idx="29">
                  <c:v>1.900000000000001</c:v>
                </c:pt>
                <c:pt idx="30">
                  <c:v>2.0000000000000009</c:v>
                </c:pt>
                <c:pt idx="31">
                  <c:v>2.100000000000001</c:v>
                </c:pt>
                <c:pt idx="32">
                  <c:v>2.2000000000000011</c:v>
                </c:pt>
                <c:pt idx="33">
                  <c:v>2.3000000000000012</c:v>
                </c:pt>
                <c:pt idx="34">
                  <c:v>2.4000000000000012</c:v>
                </c:pt>
                <c:pt idx="35">
                  <c:v>2.5000000000000013</c:v>
                </c:pt>
                <c:pt idx="36">
                  <c:v>2.6000000000000014</c:v>
                </c:pt>
                <c:pt idx="37">
                  <c:v>2.7000000000000015</c:v>
                </c:pt>
                <c:pt idx="38">
                  <c:v>2.8000000000000016</c:v>
                </c:pt>
                <c:pt idx="39">
                  <c:v>2.9000000000000017</c:v>
                </c:pt>
                <c:pt idx="40">
                  <c:v>3.0000000000000018</c:v>
                </c:pt>
                <c:pt idx="41">
                  <c:v>3.200000000000002</c:v>
                </c:pt>
                <c:pt idx="42">
                  <c:v>3.4000000000000021</c:v>
                </c:pt>
                <c:pt idx="43">
                  <c:v>3.6000000000000023</c:v>
                </c:pt>
                <c:pt idx="44">
                  <c:v>3.8000000000000025</c:v>
                </c:pt>
                <c:pt idx="45">
                  <c:v>4.0000000000000027</c:v>
                </c:pt>
                <c:pt idx="46">
                  <c:v>4.2000000000000028</c:v>
                </c:pt>
                <c:pt idx="47">
                  <c:v>4.400000000000003</c:v>
                </c:pt>
                <c:pt idx="48">
                  <c:v>4.6000000000000032</c:v>
                </c:pt>
                <c:pt idx="49">
                  <c:v>4.8000000000000034</c:v>
                </c:pt>
                <c:pt idx="50">
                  <c:v>5.0000000000000036</c:v>
                </c:pt>
                <c:pt idx="51">
                  <c:v>5.5000000000000036</c:v>
                </c:pt>
                <c:pt idx="52">
                  <c:v>6.0000000000000036</c:v>
                </c:pt>
                <c:pt idx="53">
                  <c:v>6.5000000000000036</c:v>
                </c:pt>
                <c:pt idx="54">
                  <c:v>7.0000000000000036</c:v>
                </c:pt>
                <c:pt idx="55">
                  <c:v>7.5000000000000036</c:v>
                </c:pt>
                <c:pt idx="56">
                  <c:v>8.0000000000000036</c:v>
                </c:pt>
                <c:pt idx="57">
                  <c:v>8.5000000000000036</c:v>
                </c:pt>
                <c:pt idx="58">
                  <c:v>9.0000000000000036</c:v>
                </c:pt>
                <c:pt idx="59">
                  <c:v>9.5000000000000036</c:v>
                </c:pt>
                <c:pt idx="60">
                  <c:v>10.000000000000004</c:v>
                </c:pt>
                <c:pt idx="61">
                  <c:v>10.500000000000004</c:v>
                </c:pt>
                <c:pt idx="62">
                  <c:v>11.000000000000004</c:v>
                </c:pt>
                <c:pt idx="63">
                  <c:v>11.500000000000004</c:v>
                </c:pt>
                <c:pt idx="64">
                  <c:v>12.000000000000004</c:v>
                </c:pt>
                <c:pt idx="65">
                  <c:v>12.500000000000004</c:v>
                </c:pt>
                <c:pt idx="66">
                  <c:v>13.000000000000004</c:v>
                </c:pt>
                <c:pt idx="67">
                  <c:v>13.500000000000004</c:v>
                </c:pt>
                <c:pt idx="68">
                  <c:v>14.000000000000004</c:v>
                </c:pt>
                <c:pt idx="69">
                  <c:v>14.500000000000004</c:v>
                </c:pt>
                <c:pt idx="70">
                  <c:v>15.000000000000004</c:v>
                </c:pt>
                <c:pt idx="71">
                  <c:v>15.500000000000004</c:v>
                </c:pt>
                <c:pt idx="72">
                  <c:v>16.000000000000004</c:v>
                </c:pt>
                <c:pt idx="73">
                  <c:v>16.500000000000004</c:v>
                </c:pt>
                <c:pt idx="74">
                  <c:v>17.000000000000004</c:v>
                </c:pt>
                <c:pt idx="75">
                  <c:v>17.500000000000004</c:v>
                </c:pt>
                <c:pt idx="76">
                  <c:v>18.000000000000004</c:v>
                </c:pt>
                <c:pt idx="77">
                  <c:v>18.500000000000004</c:v>
                </c:pt>
                <c:pt idx="78">
                  <c:v>19.000000000000004</c:v>
                </c:pt>
                <c:pt idx="79">
                  <c:v>19.500000000000004</c:v>
                </c:pt>
                <c:pt idx="80">
                  <c:v>20.000000000000004</c:v>
                </c:pt>
              </c:numCache>
            </c:numRef>
          </c:xVal>
          <c:yVal>
            <c:numRef>
              <c:f>ERLANG!$C$4:$C$84</c:f>
              <c:numCache>
                <c:formatCode>0.00%</c:formatCode>
                <c:ptCount val="81"/>
                <c:pt idx="0">
                  <c:v>1</c:v>
                </c:pt>
                <c:pt idx="1">
                  <c:v>0.99992252300005491</c:v>
                </c:pt>
                <c:pt idx="2">
                  <c:v>0.99969265982904099</c:v>
                </c:pt>
                <c:pt idx="3">
                  <c:v>0.99931420838535256</c:v>
                </c:pt>
                <c:pt idx="4">
                  <c:v>0.99879089572574975</c:v>
                </c:pt>
                <c:pt idx="5">
                  <c:v>0.99812637923931802</c:v>
                </c:pt>
                <c:pt idx="6">
                  <c:v>0.9973242478031944</c:v>
                </c:pt>
                <c:pt idx="7">
                  <c:v>0.99638802292032946</c:v>
                </c:pt>
                <c:pt idx="8">
                  <c:v>0.99532115983955549</c:v>
                </c:pt>
                <c:pt idx="9">
                  <c:v>0.99412704865822366</c:v>
                </c:pt>
                <c:pt idx="10">
                  <c:v>0.99280901540766986</c:v>
                </c:pt>
                <c:pt idx="11">
                  <c:v>0.99137032312176709</c:v>
                </c:pt>
                <c:pt idx="12">
                  <c:v>0.98981417288881646</c:v>
                </c:pt>
                <c:pt idx="13">
                  <c:v>0.9881437048870253</c:v>
                </c:pt>
                <c:pt idx="14">
                  <c:v>0.98636199940381863</c:v>
                </c:pt>
                <c:pt idx="15">
                  <c:v>0.98447207783922541</c:v>
                </c:pt>
                <c:pt idx="16">
                  <c:v>0.98247690369357821</c:v>
                </c:pt>
                <c:pt idx="17">
                  <c:v>0.98037938353976106</c:v>
                </c:pt>
                <c:pt idx="18">
                  <c:v>0.97818236798023683</c:v>
                </c:pt>
                <c:pt idx="19">
                  <c:v>0.97588865258908231</c:v>
                </c:pt>
                <c:pt idx="20">
                  <c:v>0.97350097883925613</c:v>
                </c:pt>
                <c:pt idx="21">
                  <c:v>0.96845445711183475</c:v>
                </c:pt>
                <c:pt idx="22">
                  <c:v>0.96306368688623323</c:v>
                </c:pt>
                <c:pt idx="23">
                  <c:v>0.95734874357574562</c:v>
                </c:pt>
                <c:pt idx="24">
                  <c:v>0.95132892112026313</c:v>
                </c:pt>
                <c:pt idx="25">
                  <c:v>0.94502275833758675</c:v>
                </c:pt>
                <c:pt idx="26">
                  <c:v>0.93844806444989493</c:v>
                </c:pt>
                <c:pt idx="27">
                  <c:v>0.93162194381003227</c:v>
                </c:pt>
                <c:pt idx="28">
                  <c:v>0.92456081985157124</c:v>
                </c:pt>
                <c:pt idx="29">
                  <c:v>0.91728045828590454</c:v>
                </c:pt>
                <c:pt idx="30">
                  <c:v>0.90979598956895014</c:v>
                </c:pt>
                <c:pt idx="31">
                  <c:v>0.90212193065939295</c:v>
                </c:pt>
                <c:pt idx="32">
                  <c:v>0.89427220608975433</c:v>
                </c:pt>
                <c:pt idx="33">
                  <c:v>0.88626016837095511</c:v>
                </c:pt>
                <c:pt idx="34">
                  <c:v>0.87809861775044218</c:v>
                </c:pt>
                <c:pt idx="35">
                  <c:v>0.86979982134335909</c:v>
                </c:pt>
                <c:pt idx="36">
                  <c:v>0.86137553165567637</c:v>
                </c:pt>
                <c:pt idx="37">
                  <c:v>0.85283700451764466</c:v>
                </c:pt>
                <c:pt idx="38">
                  <c:v>0.84419501644539607</c:v>
                </c:pt>
                <c:pt idx="39">
                  <c:v>0.8354598814480001</c:v>
                </c:pt>
                <c:pt idx="40">
                  <c:v>0.82664146729677557</c:v>
                </c:pt>
                <c:pt idx="41">
                  <c:v>0.8087921354109987</c:v>
                </c:pt>
                <c:pt idx="42">
                  <c:v>0.79071762410514423</c:v>
                </c:pt>
                <c:pt idx="43">
                  <c:v>0.77248235350713812</c:v>
                </c:pt>
                <c:pt idx="44">
                  <c:v>0.75414499573627714</c:v>
                </c:pt>
                <c:pt idx="45">
                  <c:v>0.73575888234288445</c:v>
                </c:pt>
                <c:pt idx="46">
                  <c:v>0.71737238567786821</c:v>
                </c:pt>
                <c:pt idx="47">
                  <c:v>0.69902927576596685</c:v>
                </c:pt>
                <c:pt idx="48">
                  <c:v>0.68076905416496403</c:v>
                </c:pt>
                <c:pt idx="49">
                  <c:v>0.6626272662068442</c:v>
                </c:pt>
                <c:pt idx="50">
                  <c:v>0.64463579293542728</c:v>
                </c:pt>
                <c:pt idx="51">
                  <c:v>0.60049404003627238</c:v>
                </c:pt>
                <c:pt idx="52">
                  <c:v>0.55782540037107409</c:v>
                </c:pt>
                <c:pt idx="53">
                  <c:v>0.516893147411009</c:v>
                </c:pt>
                <c:pt idx="54">
                  <c:v>0.47787834448872368</c:v>
                </c:pt>
                <c:pt idx="55">
                  <c:v>0.44089552967916901</c:v>
                </c:pt>
                <c:pt idx="56">
                  <c:v>0.40600584970983777</c:v>
                </c:pt>
                <c:pt idx="57">
                  <c:v>0.37322802583349857</c:v>
                </c:pt>
                <c:pt idx="58">
                  <c:v>0.34254747982605882</c:v>
                </c:pt>
                <c:pt idx="59">
                  <c:v>0.31392390108598911</c:v>
                </c:pt>
                <c:pt idx="60">
                  <c:v>0.28729749518364556</c:v>
                </c:pt>
                <c:pt idx="61">
                  <c:v>0.26259411924916143</c:v>
                </c:pt>
                <c:pt idx="62">
                  <c:v>0.23972947952515322</c:v>
                </c:pt>
                <c:pt idx="63">
                  <c:v>0.21861254057713708</c:v>
                </c:pt>
                <c:pt idx="64">
                  <c:v>0.19914827347145558</c:v>
                </c:pt>
                <c:pt idx="65">
                  <c:v>0.1812398511965555</c:v>
                </c:pt>
                <c:pt idx="66">
                  <c:v>0.16479038328481843</c:v>
                </c:pt>
                <c:pt idx="67">
                  <c:v>0.14970426761353883</c:v>
                </c:pt>
                <c:pt idx="68">
                  <c:v>0.13588822540043322</c:v>
                </c:pt>
                <c:pt idx="69">
                  <c:v>0.12325207518064407</c:v>
                </c:pt>
                <c:pt idx="70">
                  <c:v>0.11170929281604325</c:v>
                </c:pt>
                <c:pt idx="71">
                  <c:v>0.1011773971342862</c:v>
                </c:pt>
                <c:pt idx="72">
                  <c:v>9.1578194443670879E-2</c:v>
                </c:pt>
                <c:pt idx="73">
                  <c:v>8.2837909764350015E-2</c:v>
                </c:pt>
                <c:pt idx="74">
                  <c:v>7.4887228022246011E-2</c:v>
                </c:pt>
                <c:pt idx="75">
                  <c:v>6.7661264553082745E-2</c:v>
                </c:pt>
                <c:pt idx="76">
                  <c:v>6.1099480960332686E-2</c:v>
                </c:pt>
                <c:pt idx="77">
                  <c:v>5.5145559576497805E-2</c:v>
                </c:pt>
                <c:pt idx="78">
                  <c:v>4.9747247417943674E-2</c:v>
                </c:pt>
                <c:pt idx="79">
                  <c:v>4.485617853580226E-2</c:v>
                </c:pt>
                <c:pt idx="80">
                  <c:v>4.0427681994512743E-2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D3-4CF8-A6E1-F633FBAA37E8}"/>
            </c:ext>
          </c:extLst>
        </c:ser>
        <c:ser>
          <c:idx val="2"/>
          <c:order val="2"/>
          <c:tx>
            <c:strRef>
              <c:f>ERLANG!$D$3</c:f>
              <c:strCache>
                <c:ptCount val="1"/>
                <c:pt idx="0">
                  <c:v>a=3 ; l = 4</c:v>
                </c:pt>
              </c:strCache>
            </c:strRef>
          </c:tx>
          <c:spPr>
            <a:ln w="12700">
              <a:solidFill>
                <a:srgbClr val="90713A"/>
              </a:solidFill>
              <a:prstDash val="solid"/>
            </a:ln>
          </c:spPr>
          <c:marker>
            <c:symbol val="none"/>
          </c:marker>
          <c:xVal>
            <c:numRef>
              <c:f>ERLANG!$A$4:$A$84</c:f>
              <c:numCache>
                <c:formatCode>General</c:formatCode>
                <c:ptCount val="8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1.1000000000000003</c:v>
                </c:pt>
                <c:pt idx="22">
                  <c:v>1.2000000000000004</c:v>
                </c:pt>
                <c:pt idx="23">
                  <c:v>1.3000000000000005</c:v>
                </c:pt>
                <c:pt idx="24">
                  <c:v>1.4000000000000006</c:v>
                </c:pt>
                <c:pt idx="25">
                  <c:v>1.5000000000000007</c:v>
                </c:pt>
                <c:pt idx="26">
                  <c:v>1.6000000000000008</c:v>
                </c:pt>
                <c:pt idx="27">
                  <c:v>1.7000000000000008</c:v>
                </c:pt>
                <c:pt idx="28">
                  <c:v>1.8000000000000009</c:v>
                </c:pt>
                <c:pt idx="29">
                  <c:v>1.900000000000001</c:v>
                </c:pt>
                <c:pt idx="30">
                  <c:v>2.0000000000000009</c:v>
                </c:pt>
                <c:pt idx="31">
                  <c:v>2.100000000000001</c:v>
                </c:pt>
                <c:pt idx="32">
                  <c:v>2.2000000000000011</c:v>
                </c:pt>
                <c:pt idx="33">
                  <c:v>2.3000000000000012</c:v>
                </c:pt>
                <c:pt idx="34">
                  <c:v>2.4000000000000012</c:v>
                </c:pt>
                <c:pt idx="35">
                  <c:v>2.5000000000000013</c:v>
                </c:pt>
                <c:pt idx="36">
                  <c:v>2.6000000000000014</c:v>
                </c:pt>
                <c:pt idx="37">
                  <c:v>2.7000000000000015</c:v>
                </c:pt>
                <c:pt idx="38">
                  <c:v>2.8000000000000016</c:v>
                </c:pt>
                <c:pt idx="39">
                  <c:v>2.9000000000000017</c:v>
                </c:pt>
                <c:pt idx="40">
                  <c:v>3.0000000000000018</c:v>
                </c:pt>
                <c:pt idx="41">
                  <c:v>3.200000000000002</c:v>
                </c:pt>
                <c:pt idx="42">
                  <c:v>3.4000000000000021</c:v>
                </c:pt>
                <c:pt idx="43">
                  <c:v>3.6000000000000023</c:v>
                </c:pt>
                <c:pt idx="44">
                  <c:v>3.8000000000000025</c:v>
                </c:pt>
                <c:pt idx="45">
                  <c:v>4.0000000000000027</c:v>
                </c:pt>
                <c:pt idx="46">
                  <c:v>4.2000000000000028</c:v>
                </c:pt>
                <c:pt idx="47">
                  <c:v>4.400000000000003</c:v>
                </c:pt>
                <c:pt idx="48">
                  <c:v>4.6000000000000032</c:v>
                </c:pt>
                <c:pt idx="49">
                  <c:v>4.8000000000000034</c:v>
                </c:pt>
                <c:pt idx="50">
                  <c:v>5.0000000000000036</c:v>
                </c:pt>
                <c:pt idx="51">
                  <c:v>5.5000000000000036</c:v>
                </c:pt>
                <c:pt idx="52">
                  <c:v>6.0000000000000036</c:v>
                </c:pt>
                <c:pt idx="53">
                  <c:v>6.5000000000000036</c:v>
                </c:pt>
                <c:pt idx="54">
                  <c:v>7.0000000000000036</c:v>
                </c:pt>
                <c:pt idx="55">
                  <c:v>7.5000000000000036</c:v>
                </c:pt>
                <c:pt idx="56">
                  <c:v>8.0000000000000036</c:v>
                </c:pt>
                <c:pt idx="57">
                  <c:v>8.5000000000000036</c:v>
                </c:pt>
                <c:pt idx="58">
                  <c:v>9.0000000000000036</c:v>
                </c:pt>
                <c:pt idx="59">
                  <c:v>9.5000000000000036</c:v>
                </c:pt>
                <c:pt idx="60">
                  <c:v>10.000000000000004</c:v>
                </c:pt>
                <c:pt idx="61">
                  <c:v>10.500000000000004</c:v>
                </c:pt>
                <c:pt idx="62">
                  <c:v>11.000000000000004</c:v>
                </c:pt>
                <c:pt idx="63">
                  <c:v>11.500000000000004</c:v>
                </c:pt>
                <c:pt idx="64">
                  <c:v>12.000000000000004</c:v>
                </c:pt>
                <c:pt idx="65">
                  <c:v>12.500000000000004</c:v>
                </c:pt>
                <c:pt idx="66">
                  <c:v>13.000000000000004</c:v>
                </c:pt>
                <c:pt idx="67">
                  <c:v>13.500000000000004</c:v>
                </c:pt>
                <c:pt idx="68">
                  <c:v>14.000000000000004</c:v>
                </c:pt>
                <c:pt idx="69">
                  <c:v>14.500000000000004</c:v>
                </c:pt>
                <c:pt idx="70">
                  <c:v>15.000000000000004</c:v>
                </c:pt>
                <c:pt idx="71">
                  <c:v>15.500000000000004</c:v>
                </c:pt>
                <c:pt idx="72">
                  <c:v>16.000000000000004</c:v>
                </c:pt>
                <c:pt idx="73">
                  <c:v>16.500000000000004</c:v>
                </c:pt>
                <c:pt idx="74">
                  <c:v>17.000000000000004</c:v>
                </c:pt>
                <c:pt idx="75">
                  <c:v>17.500000000000004</c:v>
                </c:pt>
                <c:pt idx="76">
                  <c:v>18.000000000000004</c:v>
                </c:pt>
                <c:pt idx="77">
                  <c:v>18.500000000000004</c:v>
                </c:pt>
                <c:pt idx="78">
                  <c:v>19.000000000000004</c:v>
                </c:pt>
                <c:pt idx="79">
                  <c:v>19.500000000000004</c:v>
                </c:pt>
                <c:pt idx="80">
                  <c:v>20.000000000000004</c:v>
                </c:pt>
              </c:numCache>
            </c:numRef>
          </c:xVal>
          <c:yVal>
            <c:numRef>
              <c:f>ERLANG!$D$4:$D$84</c:f>
              <c:numCache>
                <c:formatCode>0.00%</c:formatCode>
                <c:ptCount val="81"/>
                <c:pt idx="0">
                  <c:v>1</c:v>
                </c:pt>
                <c:pt idx="1">
                  <c:v>0.9999996775157185</c:v>
                </c:pt>
                <c:pt idx="2">
                  <c:v>0.99999744417654979</c:v>
                </c:pt>
                <c:pt idx="3">
                  <c:v>0.99999145446031257</c:v>
                </c:pt>
                <c:pt idx="4">
                  <c:v>0.99997993250637562</c:v>
                </c:pt>
                <c:pt idx="5">
                  <c:v>0.99996117037762555</c:v>
                </c:pt>
                <c:pt idx="6">
                  <c:v>0.99993352635849342</c:v>
                </c:pt>
                <c:pt idx="7">
                  <c:v>0.99989542328836789</c:v>
                </c:pt>
                <c:pt idx="8">
                  <c:v>0.99984534692973537</c:v>
                </c:pt>
                <c:pt idx="9">
                  <c:v>0.99978184437039475</c:v>
                </c:pt>
                <c:pt idx="10">
                  <c:v>0.99970352245911198</c:v>
                </c:pt>
                <c:pt idx="11">
                  <c:v>0.99960904627408398</c:v>
                </c:pt>
                <c:pt idx="12">
                  <c:v>0.99949713762359838</c:v>
                </c:pt>
                <c:pt idx="13">
                  <c:v>0.99936657357828251</c:v>
                </c:pt>
                <c:pt idx="14">
                  <c:v>0.99921618503434717</c:v>
                </c:pt>
                <c:pt idx="15">
                  <c:v>0.9990448553072403</c:v>
                </c:pt>
                <c:pt idx="16">
                  <c:v>0.99885151875513789</c:v>
                </c:pt>
                <c:pt idx="17">
                  <c:v>0.99863515943170644</c:v>
                </c:pt>
                <c:pt idx="18">
                  <c:v>0.99839480976758366</c:v>
                </c:pt>
                <c:pt idx="19">
                  <c:v>0.99812954928003306</c:v>
                </c:pt>
                <c:pt idx="20">
                  <c:v>0.99783850331023749</c:v>
                </c:pt>
                <c:pt idx="21">
                  <c:v>0.99717577802127888</c:v>
                </c:pt>
                <c:pt idx="22">
                  <c:v>0.9964005068169105</c:v>
                </c:pt>
                <c:pt idx="23">
                  <c:v>0.99550721943996756</c:v>
                </c:pt>
                <c:pt idx="24">
                  <c:v>0.99449106661553432</c:v>
                </c:pt>
                <c:pt idx="25">
                  <c:v>0.99334778575257698</c:v>
                </c:pt>
                <c:pt idx="26">
                  <c:v>0.99207366813274611</c:v>
                </c:pt>
                <c:pt idx="27">
                  <c:v>0.99066552752957171</c:v>
                </c:pt>
                <c:pt idx="28">
                  <c:v>0.98912067020327576</c:v>
                </c:pt>
                <c:pt idx="29">
                  <c:v>0.98743686621836468</c:v>
                </c:pt>
                <c:pt idx="30">
                  <c:v>0.98561232203302929</c:v>
                </c:pt>
                <c:pt idx="31">
                  <c:v>0.98364565431119466</c:v>
                </c:pt>
                <c:pt idx="32">
                  <c:v>0.98153586490980294</c:v>
                </c:pt>
                <c:pt idx="33">
                  <c:v>0.97928231699560508</c:v>
                </c:pt>
                <c:pt idx="34">
                  <c:v>0.97688471224736706</c:v>
                </c:pt>
                <c:pt idx="35">
                  <c:v>0.97434306910097435</c:v>
                </c:pt>
                <c:pt idx="36">
                  <c:v>0.97165770199644108</c:v>
                </c:pt>
                <c:pt idx="37">
                  <c:v>0.96882920158730212</c:v>
                </c:pt>
                <c:pt idx="38">
                  <c:v>0.96585841587429144</c:v>
                </c:pt>
                <c:pt idx="39">
                  <c:v>0.96274643222658141</c:v>
                </c:pt>
                <c:pt idx="40">
                  <c:v>0.95949456025518609</c:v>
                </c:pt>
                <c:pt idx="41">
                  <c:v>0.95257740392850976</c:v>
                </c:pt>
                <c:pt idx="42">
                  <c:v>0.94512126827162179</c:v>
                </c:pt>
                <c:pt idx="43">
                  <c:v>0.93714306570208084</c:v>
                </c:pt>
                <c:pt idx="44">
                  <c:v>0.92866188257012094</c:v>
                </c:pt>
                <c:pt idx="45">
                  <c:v>0.91969860292860572</c:v>
                </c:pt>
                <c:pt idx="46">
                  <c:v>0.91027556987539282</c:v>
                </c:pt>
                <c:pt idx="47">
                  <c:v>0.90041628140330499</c:v>
                </c:pt>
                <c:pt idx="48">
                  <c:v>0.89014511791686313</c:v>
                </c:pt>
                <c:pt idx="49">
                  <c:v>0.87948709878362996</c:v>
                </c:pt>
                <c:pt idx="50">
                  <c:v>0.86846766548245091</c:v>
                </c:pt>
                <c:pt idx="51">
                  <c:v>0.83950647044544702</c:v>
                </c:pt>
                <c:pt idx="52">
                  <c:v>0.80884683053805806</c:v>
                </c:pt>
                <c:pt idx="53">
                  <c:v>0.77687809357904658</c:v>
                </c:pt>
                <c:pt idx="54">
                  <c:v>0.74396969539721791</c:v>
                </c:pt>
                <c:pt idx="55">
                  <c:v>0.71046480733626982</c:v>
                </c:pt>
                <c:pt idx="56">
                  <c:v>0.67667641618306318</c:v>
                </c:pt>
                <c:pt idx="57">
                  <c:v>0.64288527449820143</c:v>
                </c:pt>
                <c:pt idx="58">
                  <c:v>0.6093392669982779</c:v>
                </c:pt>
                <c:pt idx="59">
                  <c:v>0.57625382768793854</c:v>
                </c:pt>
                <c:pt idx="60">
                  <c:v>0.54381311588332948</c:v>
                </c:pt>
                <c:pt idx="61">
                  <c:v>0.51217171965623087</c:v>
                </c:pt>
                <c:pt idx="62">
                  <c:v>0.48145670471301638</c:v>
                </c:pt>
                <c:pt idx="63">
                  <c:v>0.45176986712009193</c:v>
                </c:pt>
                <c:pt idx="64">
                  <c:v>0.42319008112684331</c:v>
                </c:pt>
                <c:pt idx="65">
                  <c:v>0.3957756599045994</c:v>
                </c:pt>
                <c:pt idx="66">
                  <c:v>0.3695666683961002</c:v>
                </c:pt>
                <c:pt idx="67">
                  <c:v>0.34458714456044914</c:v>
                </c:pt>
                <c:pt idx="68">
                  <c:v>0.32084719886213386</c:v>
                </c:pt>
                <c:pt idx="69">
                  <c:v>0.29834497252341707</c:v>
                </c:pt>
                <c:pt idx="70">
                  <c:v>0.27706844336610714</c:v>
                </c:pt>
                <c:pt idx="71">
                  <c:v>0.25699707445167252</c:v>
                </c:pt>
                <c:pt idx="72">
                  <c:v>0.2381033055535442</c:v>
                </c:pt>
                <c:pt idx="73">
                  <c:v>0.22035389106522996</c:v>
                </c:pt>
                <c:pt idx="74">
                  <c:v>0.20371109051289549</c:v>
                </c:pt>
                <c:pt idx="75">
                  <c:v>0.18813371960762681</c:v>
                </c:pt>
                <c:pt idx="76">
                  <c:v>0.17357807091003596</c:v>
                </c:pt>
                <c:pt idx="77">
                  <c:v>0.15999871382681086</c:v>
                </c:pt>
                <c:pt idx="78">
                  <c:v>0.14734918392814822</c:v>
                </c:pt>
                <c:pt idx="79">
                  <c:v>0.13558257155834907</c:v>
                </c:pt>
                <c:pt idx="80">
                  <c:v>0.12465201948308113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D3-4CF8-A6E1-F633FBAA37E8}"/>
            </c:ext>
          </c:extLst>
        </c:ser>
        <c:ser>
          <c:idx val="3"/>
          <c:order val="3"/>
          <c:tx>
            <c:strRef>
              <c:f>ERLANG!$E$3</c:f>
              <c:strCache>
                <c:ptCount val="1"/>
                <c:pt idx="0">
                  <c:v>a=4 ; l = 4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none"/>
          </c:marker>
          <c:xVal>
            <c:numRef>
              <c:f>ERLANG!$A$4:$A$84</c:f>
              <c:numCache>
                <c:formatCode>General</c:formatCode>
                <c:ptCount val="8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1.1000000000000003</c:v>
                </c:pt>
                <c:pt idx="22">
                  <c:v>1.2000000000000004</c:v>
                </c:pt>
                <c:pt idx="23">
                  <c:v>1.3000000000000005</c:v>
                </c:pt>
                <c:pt idx="24">
                  <c:v>1.4000000000000006</c:v>
                </c:pt>
                <c:pt idx="25">
                  <c:v>1.5000000000000007</c:v>
                </c:pt>
                <c:pt idx="26">
                  <c:v>1.6000000000000008</c:v>
                </c:pt>
                <c:pt idx="27">
                  <c:v>1.7000000000000008</c:v>
                </c:pt>
                <c:pt idx="28">
                  <c:v>1.8000000000000009</c:v>
                </c:pt>
                <c:pt idx="29">
                  <c:v>1.900000000000001</c:v>
                </c:pt>
                <c:pt idx="30">
                  <c:v>2.0000000000000009</c:v>
                </c:pt>
                <c:pt idx="31">
                  <c:v>2.100000000000001</c:v>
                </c:pt>
                <c:pt idx="32">
                  <c:v>2.2000000000000011</c:v>
                </c:pt>
                <c:pt idx="33">
                  <c:v>2.3000000000000012</c:v>
                </c:pt>
                <c:pt idx="34">
                  <c:v>2.4000000000000012</c:v>
                </c:pt>
                <c:pt idx="35">
                  <c:v>2.5000000000000013</c:v>
                </c:pt>
                <c:pt idx="36">
                  <c:v>2.6000000000000014</c:v>
                </c:pt>
                <c:pt idx="37">
                  <c:v>2.7000000000000015</c:v>
                </c:pt>
                <c:pt idx="38">
                  <c:v>2.8000000000000016</c:v>
                </c:pt>
                <c:pt idx="39">
                  <c:v>2.9000000000000017</c:v>
                </c:pt>
                <c:pt idx="40">
                  <c:v>3.0000000000000018</c:v>
                </c:pt>
                <c:pt idx="41">
                  <c:v>3.200000000000002</c:v>
                </c:pt>
                <c:pt idx="42">
                  <c:v>3.4000000000000021</c:v>
                </c:pt>
                <c:pt idx="43">
                  <c:v>3.6000000000000023</c:v>
                </c:pt>
                <c:pt idx="44">
                  <c:v>3.8000000000000025</c:v>
                </c:pt>
                <c:pt idx="45">
                  <c:v>4.0000000000000027</c:v>
                </c:pt>
                <c:pt idx="46">
                  <c:v>4.2000000000000028</c:v>
                </c:pt>
                <c:pt idx="47">
                  <c:v>4.400000000000003</c:v>
                </c:pt>
                <c:pt idx="48">
                  <c:v>4.6000000000000032</c:v>
                </c:pt>
                <c:pt idx="49">
                  <c:v>4.8000000000000034</c:v>
                </c:pt>
                <c:pt idx="50">
                  <c:v>5.0000000000000036</c:v>
                </c:pt>
                <c:pt idx="51">
                  <c:v>5.5000000000000036</c:v>
                </c:pt>
                <c:pt idx="52">
                  <c:v>6.0000000000000036</c:v>
                </c:pt>
                <c:pt idx="53">
                  <c:v>6.5000000000000036</c:v>
                </c:pt>
                <c:pt idx="54">
                  <c:v>7.0000000000000036</c:v>
                </c:pt>
                <c:pt idx="55">
                  <c:v>7.5000000000000036</c:v>
                </c:pt>
                <c:pt idx="56">
                  <c:v>8.0000000000000036</c:v>
                </c:pt>
                <c:pt idx="57">
                  <c:v>8.5000000000000036</c:v>
                </c:pt>
                <c:pt idx="58">
                  <c:v>9.0000000000000036</c:v>
                </c:pt>
                <c:pt idx="59">
                  <c:v>9.5000000000000036</c:v>
                </c:pt>
                <c:pt idx="60">
                  <c:v>10.000000000000004</c:v>
                </c:pt>
                <c:pt idx="61">
                  <c:v>10.500000000000004</c:v>
                </c:pt>
                <c:pt idx="62">
                  <c:v>11.000000000000004</c:v>
                </c:pt>
                <c:pt idx="63">
                  <c:v>11.500000000000004</c:v>
                </c:pt>
                <c:pt idx="64">
                  <c:v>12.000000000000004</c:v>
                </c:pt>
                <c:pt idx="65">
                  <c:v>12.500000000000004</c:v>
                </c:pt>
                <c:pt idx="66">
                  <c:v>13.000000000000004</c:v>
                </c:pt>
                <c:pt idx="67">
                  <c:v>13.500000000000004</c:v>
                </c:pt>
                <c:pt idx="68">
                  <c:v>14.000000000000004</c:v>
                </c:pt>
                <c:pt idx="69">
                  <c:v>14.500000000000004</c:v>
                </c:pt>
                <c:pt idx="70">
                  <c:v>15.000000000000004</c:v>
                </c:pt>
                <c:pt idx="71">
                  <c:v>15.500000000000004</c:v>
                </c:pt>
                <c:pt idx="72">
                  <c:v>16.000000000000004</c:v>
                </c:pt>
                <c:pt idx="73">
                  <c:v>16.500000000000004</c:v>
                </c:pt>
                <c:pt idx="74">
                  <c:v>17.000000000000004</c:v>
                </c:pt>
                <c:pt idx="75">
                  <c:v>17.500000000000004</c:v>
                </c:pt>
                <c:pt idx="76">
                  <c:v>18.000000000000004</c:v>
                </c:pt>
                <c:pt idx="77">
                  <c:v>18.500000000000004</c:v>
                </c:pt>
                <c:pt idx="78">
                  <c:v>19.000000000000004</c:v>
                </c:pt>
                <c:pt idx="79">
                  <c:v>19.500000000000004</c:v>
                </c:pt>
                <c:pt idx="80">
                  <c:v>20.000000000000004</c:v>
                </c:pt>
              </c:numCache>
            </c:numRef>
          </c:xVal>
          <c:yVal>
            <c:numRef>
              <c:f>ERLANG!$E$4:$E$84</c:f>
              <c:numCache>
                <c:formatCode>0.00%</c:formatCode>
                <c:ptCount val="81"/>
                <c:pt idx="0">
                  <c:v>1</c:v>
                </c:pt>
                <c:pt idx="1">
                  <c:v>0.99999999899286718</c:v>
                </c:pt>
                <c:pt idx="2">
                  <c:v>0.99999998404611246</c:v>
                </c:pt>
                <c:pt idx="3">
                  <c:v>0.99999992003624949</c:v>
                </c:pt>
                <c:pt idx="4">
                  <c:v>0.99999974978605266</c:v>
                </c:pt>
                <c:pt idx="5">
                  <c:v>0.99999939519300696</c:v>
                </c:pt>
                <c:pt idx="6">
                  <c:v>0.99999875832237584</c:v>
                </c:pt>
                <c:pt idx="7">
                  <c:v>0.99999772246576901</c:v>
                </c:pt>
                <c:pt idx="8">
                  <c:v>0.99999615316607471</c:v>
                </c:pt>
                <c:pt idx="9">
                  <c:v>0.99999389920960113</c:v>
                </c:pt>
                <c:pt idx="10">
                  <c:v>0.99999079358625542</c:v>
                </c:pt>
                <c:pt idx="11">
                  <c:v>0.99998665441856516</c:v>
                </c:pt>
                <c:pt idx="12">
                  <c:v>0.99998128586033752</c:v>
                </c:pt>
                <c:pt idx="13">
                  <c:v>0.99997447896572567</c:v>
                </c:pt>
                <c:pt idx="14">
                  <c:v>0.99996601252946127</c:v>
                </c:pt>
                <c:pt idx="15">
                  <c:v>0.99995565389899121</c:v>
                </c:pt>
                <c:pt idx="16">
                  <c:v>0.99994315975924186</c:v>
                </c:pt>
                <c:pt idx="17">
                  <c:v>0.99992827689071917</c:v>
                </c:pt>
                <c:pt idx="18">
                  <c:v>0.99991074290163462</c:v>
                </c:pt>
                <c:pt idx="19">
                  <c:v>0.99989028693473325</c:v>
                </c:pt>
                <c:pt idx="20">
                  <c:v>0.99986663034948597</c:v>
                </c:pt>
                <c:pt idx="21">
                  <c:v>0.99980856577131128</c:v>
                </c:pt>
                <c:pt idx="22">
                  <c:v>0.99973418880997822</c:v>
                </c:pt>
                <c:pt idx="23">
                  <c:v>0.99964105432525829</c:v>
                </c:pt>
                <c:pt idx="24">
                  <c:v>0.99952665025664933</c:v>
                </c:pt>
                <c:pt idx="25">
                  <c:v>0.99938841417945079</c:v>
                </c:pt>
                <c:pt idx="26">
                  <c:v>0.99922374862379293</c:v>
                </c:pt>
                <c:pt idx="27">
                  <c:v>0.99903003522317313</c:v>
                </c:pt>
                <c:pt idx="28">
                  <c:v>0.99880464775603151</c:v>
                </c:pt>
                <c:pt idx="29">
                  <c:v>0.99854496414100424</c:v>
                </c:pt>
                <c:pt idx="30">
                  <c:v>0.9982483774437092</c:v>
                </c:pt>
                <c:pt idx="31">
                  <c:v>0.99791230595026004</c:v>
                </c:pt>
                <c:pt idx="32">
                  <c:v>0.99753420236014523</c:v>
                </c:pt>
                <c:pt idx="33">
                  <c:v>0.99711156214866292</c:v>
                </c:pt>
                <c:pt idx="34">
                  <c:v>0.99664193114675204</c:v>
                </c:pt>
                <c:pt idx="35">
                  <c:v>0.9961229123838109</c:v>
                </c:pt>
                <c:pt idx="36">
                  <c:v>0.99555217223694015</c:v>
                </c:pt>
                <c:pt idx="37">
                  <c:v>0.994927445927975</c:v>
                </c:pt>
                <c:pt idx="38">
                  <c:v>0.99424654240770038</c:v>
                </c:pt>
                <c:pt idx="39">
                  <c:v>0.99350734866473855</c:v>
                </c:pt>
                <c:pt idx="40">
                  <c:v>0.99270783349478875</c:v>
                </c:pt>
                <c:pt idx="41">
                  <c:v>0.99092014219984603</c:v>
                </c:pt>
                <c:pt idx="42">
                  <c:v>0.98886896745212383</c:v>
                </c:pt>
                <c:pt idx="43">
                  <c:v>0.98654127936056368</c:v>
                </c:pt>
                <c:pt idx="44">
                  <c:v>0.98392556340083814</c:v>
                </c:pt>
                <c:pt idx="45">
                  <c:v>0.98101184312384615</c:v>
                </c:pt>
                <c:pt idx="46">
                  <c:v>0.97779168434452635</c:v>
                </c:pt>
                <c:pt idx="47">
                  <c:v>0.97425818347032911</c:v>
                </c:pt>
                <c:pt idx="48">
                  <c:v>0.97040594235509126</c:v>
                </c:pt>
                <c:pt idx="49">
                  <c:v>0.96623103181434422</c:v>
                </c:pt>
                <c:pt idx="50">
                  <c:v>0.96173094571037765</c:v>
                </c:pt>
                <c:pt idx="51">
                  <c:v>0.94905383438298552</c:v>
                </c:pt>
                <c:pt idx="52">
                  <c:v>0.93435754562154982</c:v>
                </c:pt>
                <c:pt idx="53">
                  <c:v>0.91770327275340036</c:v>
                </c:pt>
                <c:pt idx="54">
                  <c:v>0.89918965009383955</c:v>
                </c:pt>
                <c:pt idx="55">
                  <c:v>0.87894560587195802</c:v>
                </c:pt>
                <c:pt idx="56">
                  <c:v>0.85712346049854682</c:v>
                </c:pt>
                <c:pt idx="57">
                  <c:v>0.83389249230236606</c:v>
                </c:pt>
                <c:pt idx="58">
                  <c:v>0.80943310737744223</c:v>
                </c:pt>
                <c:pt idx="59">
                  <c:v>0.78393168624781506</c:v>
                </c:pt>
                <c:pt idx="60">
                  <c:v>0.75757613313306571</c:v>
                </c:pt>
                <c:pt idx="61">
                  <c:v>0.73055212001241665</c:v>
                </c:pt>
                <c:pt idx="62">
                  <c:v>0.70303999446855725</c:v>
                </c:pt>
                <c:pt idx="63">
                  <c:v>0.67521230505709018</c:v>
                </c:pt>
                <c:pt idx="64">
                  <c:v>0.64723188878223104</c:v>
                </c:pt>
                <c:pt idx="65">
                  <c:v>0.61925046064214517</c:v>
                </c:pt>
                <c:pt idx="66">
                  <c:v>0.59140764393332224</c:v>
                </c:pt>
                <c:pt idx="67">
                  <c:v>0.56383038112572348</c:v>
                </c:pt>
                <c:pt idx="68">
                  <c:v>0.53663266790078479</c:v>
                </c:pt>
                <c:pt idx="69">
                  <c:v>0.50991555681260126</c:v>
                </c:pt>
                <c:pt idx="70">
                  <c:v>0.48376738155368726</c:v>
                </c:pt>
                <c:pt idx="71">
                  <c:v>0.45826415765329642</c:v>
                </c:pt>
                <c:pt idx="72">
                  <c:v>0.43347012036670873</c:v>
                </c:pt>
                <c:pt idx="73">
                  <c:v>0.40943836535393985</c:v>
                </c:pt>
                <c:pt idx="74">
                  <c:v>0.38621156237464893</c:v>
                </c:pt>
                <c:pt idx="75">
                  <c:v>0.36382271656217025</c:v>
                </c:pt>
                <c:pt idx="76">
                  <c:v>0.34229595583459083</c:v>
                </c:pt>
                <c:pt idx="77">
                  <c:v>0.3216473266293769</c:v>
                </c:pt>
                <c:pt idx="78">
                  <c:v>0.30188558340263882</c:v>
                </c:pt>
                <c:pt idx="79">
                  <c:v>0.28301296021998779</c:v>
                </c:pt>
                <c:pt idx="80">
                  <c:v>0.26502591529736153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D3-4CF8-A6E1-F633FBAA37E8}"/>
            </c:ext>
          </c:extLst>
        </c:ser>
        <c:ser>
          <c:idx val="4"/>
          <c:order val="4"/>
          <c:tx>
            <c:strRef>
              <c:f>ERLANG!$F$3</c:f>
              <c:strCache>
                <c:ptCount val="1"/>
                <c:pt idx="0">
                  <c:v>a=5 ; l = 4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none"/>
          </c:marker>
          <c:xVal>
            <c:numRef>
              <c:f>ERLANG!$A$4:$A$84</c:f>
              <c:numCache>
                <c:formatCode>General</c:formatCode>
                <c:ptCount val="8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1.1000000000000003</c:v>
                </c:pt>
                <c:pt idx="22">
                  <c:v>1.2000000000000004</c:v>
                </c:pt>
                <c:pt idx="23">
                  <c:v>1.3000000000000005</c:v>
                </c:pt>
                <c:pt idx="24">
                  <c:v>1.4000000000000006</c:v>
                </c:pt>
                <c:pt idx="25">
                  <c:v>1.5000000000000007</c:v>
                </c:pt>
                <c:pt idx="26">
                  <c:v>1.6000000000000008</c:v>
                </c:pt>
                <c:pt idx="27">
                  <c:v>1.7000000000000008</c:v>
                </c:pt>
                <c:pt idx="28">
                  <c:v>1.8000000000000009</c:v>
                </c:pt>
                <c:pt idx="29">
                  <c:v>1.900000000000001</c:v>
                </c:pt>
                <c:pt idx="30">
                  <c:v>2.0000000000000009</c:v>
                </c:pt>
                <c:pt idx="31">
                  <c:v>2.100000000000001</c:v>
                </c:pt>
                <c:pt idx="32">
                  <c:v>2.2000000000000011</c:v>
                </c:pt>
                <c:pt idx="33">
                  <c:v>2.3000000000000012</c:v>
                </c:pt>
                <c:pt idx="34">
                  <c:v>2.4000000000000012</c:v>
                </c:pt>
                <c:pt idx="35">
                  <c:v>2.5000000000000013</c:v>
                </c:pt>
                <c:pt idx="36">
                  <c:v>2.6000000000000014</c:v>
                </c:pt>
                <c:pt idx="37">
                  <c:v>2.7000000000000015</c:v>
                </c:pt>
                <c:pt idx="38">
                  <c:v>2.8000000000000016</c:v>
                </c:pt>
                <c:pt idx="39">
                  <c:v>2.9000000000000017</c:v>
                </c:pt>
                <c:pt idx="40">
                  <c:v>3.0000000000000018</c:v>
                </c:pt>
                <c:pt idx="41">
                  <c:v>3.200000000000002</c:v>
                </c:pt>
                <c:pt idx="42">
                  <c:v>3.4000000000000021</c:v>
                </c:pt>
                <c:pt idx="43">
                  <c:v>3.6000000000000023</c:v>
                </c:pt>
                <c:pt idx="44">
                  <c:v>3.8000000000000025</c:v>
                </c:pt>
                <c:pt idx="45">
                  <c:v>4.0000000000000027</c:v>
                </c:pt>
                <c:pt idx="46">
                  <c:v>4.2000000000000028</c:v>
                </c:pt>
                <c:pt idx="47">
                  <c:v>4.400000000000003</c:v>
                </c:pt>
                <c:pt idx="48">
                  <c:v>4.6000000000000032</c:v>
                </c:pt>
                <c:pt idx="49">
                  <c:v>4.8000000000000034</c:v>
                </c:pt>
                <c:pt idx="50">
                  <c:v>5.0000000000000036</c:v>
                </c:pt>
                <c:pt idx="51">
                  <c:v>5.5000000000000036</c:v>
                </c:pt>
                <c:pt idx="52">
                  <c:v>6.0000000000000036</c:v>
                </c:pt>
                <c:pt idx="53">
                  <c:v>6.5000000000000036</c:v>
                </c:pt>
                <c:pt idx="54">
                  <c:v>7.0000000000000036</c:v>
                </c:pt>
                <c:pt idx="55">
                  <c:v>7.5000000000000036</c:v>
                </c:pt>
                <c:pt idx="56">
                  <c:v>8.0000000000000036</c:v>
                </c:pt>
                <c:pt idx="57">
                  <c:v>8.5000000000000036</c:v>
                </c:pt>
                <c:pt idx="58">
                  <c:v>9.0000000000000036</c:v>
                </c:pt>
                <c:pt idx="59">
                  <c:v>9.5000000000000036</c:v>
                </c:pt>
                <c:pt idx="60">
                  <c:v>10.000000000000004</c:v>
                </c:pt>
                <c:pt idx="61">
                  <c:v>10.500000000000004</c:v>
                </c:pt>
                <c:pt idx="62">
                  <c:v>11.000000000000004</c:v>
                </c:pt>
                <c:pt idx="63">
                  <c:v>11.500000000000004</c:v>
                </c:pt>
                <c:pt idx="64">
                  <c:v>12.000000000000004</c:v>
                </c:pt>
                <c:pt idx="65">
                  <c:v>12.500000000000004</c:v>
                </c:pt>
                <c:pt idx="66">
                  <c:v>13.000000000000004</c:v>
                </c:pt>
                <c:pt idx="67">
                  <c:v>13.500000000000004</c:v>
                </c:pt>
                <c:pt idx="68">
                  <c:v>14.000000000000004</c:v>
                </c:pt>
                <c:pt idx="69">
                  <c:v>14.500000000000004</c:v>
                </c:pt>
                <c:pt idx="70">
                  <c:v>15.000000000000004</c:v>
                </c:pt>
                <c:pt idx="71">
                  <c:v>15.500000000000004</c:v>
                </c:pt>
                <c:pt idx="72">
                  <c:v>16.000000000000004</c:v>
                </c:pt>
                <c:pt idx="73">
                  <c:v>16.500000000000004</c:v>
                </c:pt>
                <c:pt idx="74">
                  <c:v>17.000000000000004</c:v>
                </c:pt>
                <c:pt idx="75">
                  <c:v>17.500000000000004</c:v>
                </c:pt>
                <c:pt idx="76">
                  <c:v>18.000000000000004</c:v>
                </c:pt>
                <c:pt idx="77">
                  <c:v>18.500000000000004</c:v>
                </c:pt>
                <c:pt idx="78">
                  <c:v>19.000000000000004</c:v>
                </c:pt>
                <c:pt idx="79">
                  <c:v>19.500000000000004</c:v>
                </c:pt>
                <c:pt idx="80">
                  <c:v>20.000000000000004</c:v>
                </c:pt>
              </c:numCache>
            </c:numRef>
          </c:xVal>
          <c:yVal>
            <c:numRef>
              <c:f>ERLANG!$F$4:$F$84</c:f>
              <c:numCache>
                <c:formatCode>0.00%</c:formatCode>
                <c:ptCount val="81"/>
                <c:pt idx="0">
                  <c:v>1</c:v>
                </c:pt>
                <c:pt idx="1">
                  <c:v>0.99999999999748324</c:v>
                </c:pt>
                <c:pt idx="2">
                  <c:v>0.9999999999202972</c:v>
                </c:pt>
                <c:pt idx="3">
                  <c:v>0.99999999940102391</c:v>
                </c:pt>
                <c:pt idx="4">
                  <c:v>0.99999999750204871</c:v>
                </c:pt>
                <c:pt idx="5">
                  <c:v>0.99999999245574733</c:v>
                </c:pt>
                <c:pt idx="6">
                  <c:v>0.99999998142169866</c:v>
                </c:pt>
                <c:pt idx="7">
                  <c:v>0.99999996026027471</c:v>
                </c:pt>
                <c:pt idx="8">
                  <c:v>0.99999992332198318</c:v>
                </c:pt>
                <c:pt idx="9">
                  <c:v>0.99999986325195389</c:v>
                </c:pt>
                <c:pt idx="10">
                  <c:v>0.99999977080897862</c:v>
                </c:pt>
                <c:pt idx="11">
                  <c:v>0.9999996346985317</c:v>
                </c:pt>
                <c:pt idx="12">
                  <c:v>0.99999944141921515</c:v>
                </c:pt>
                <c:pt idx="13">
                  <c:v>0.99999917512209047</c:v>
                </c:pt>
                <c:pt idx="14">
                  <c:v>0.99999881748237252</c:v>
                </c:pt>
                <c:pt idx="15">
                  <c:v>0.99999834758297956</c:v>
                </c:pt>
                <c:pt idx="16">
                  <c:v>0.999997741809447</c:v>
                </c:pt>
                <c:pt idx="17">
                  <c:v>0.99999697375572927</c:v>
                </c:pt>
                <c:pt idx="18">
                  <c:v>0.99999601414042494</c:v>
                </c:pt>
                <c:pt idx="19">
                  <c:v>0.99999483073298112</c:v>
                </c:pt>
                <c:pt idx="20">
                  <c:v>0.99999338828943896</c:v>
                </c:pt>
                <c:pt idx="21">
                  <c:v>0.99998956992912602</c:v>
                </c:pt>
                <c:pt idx="22">
                  <c:v>0.99998421495945833</c:v>
                </c:pt>
                <c:pt idx="23">
                  <c:v>0.99997692840968821</c:v>
                </c:pt>
                <c:pt idx="24">
                  <c:v>0.99996726382524692</c:v>
                </c:pt>
                <c:pt idx="25">
                  <c:v>0.9999547230944702</c:v>
                </c:pt>
                <c:pt idx="26">
                  <c:v>0.99993875667289767</c:v>
                </c:pt>
                <c:pt idx="27">
                  <c:v>0.9999187641656182</c:v>
                </c:pt>
                <c:pt idx="28">
                  <c:v>0.99989409523071648</c:v>
                </c:pt>
                <c:pt idx="29">
                  <c:v>0.99986405076931761</c:v>
                </c:pt>
                <c:pt idx="30">
                  <c:v>0.99982788437004411</c:v>
                </c:pt>
                <c:pt idx="31">
                  <c:v>0.99978480397788727</c:v>
                </c:pt>
                <c:pt idx="32">
                  <c:v>0.9997339737595673</c:v>
                </c:pt>
                <c:pt idx="33">
                  <c:v>0.99967451613941505</c:v>
                </c:pt>
                <c:pt idx="34">
                  <c:v>0.99960551398165975</c:v>
                </c:pt>
                <c:pt idx="35">
                  <c:v>0.99952601289675413</c:v>
                </c:pt>
                <c:pt idx="36">
                  <c:v>0.99943502365102121</c:v>
                </c:pt>
                <c:pt idx="37">
                  <c:v>0.9993315246604636</c:v>
                </c:pt>
                <c:pt idx="38">
                  <c:v>0.99921446455104701</c:v>
                </c:pt>
                <c:pt idx="39">
                  <c:v>0.99908276476915459</c:v>
                </c:pt>
                <c:pt idx="40">
                  <c:v>0.99893532222721415</c:v>
                </c:pt>
                <c:pt idx="41">
                  <c:v>0.99858868985411331</c:v>
                </c:pt>
                <c:pt idx="42">
                  <c:v>0.99816535352798053</c:v>
                </c:pt>
                <c:pt idx="43">
                  <c:v>0.99765587743372242</c:v>
                </c:pt>
                <c:pt idx="44">
                  <c:v>0.99705068759813353</c:v>
                </c:pt>
                <c:pt idx="45">
                  <c:v>0.99634015317265623</c:v>
                </c:pt>
                <c:pt idx="46">
                  <c:v>0.99551466439267389</c:v>
                </c:pt>
                <c:pt idx="47">
                  <c:v>0.99456470653876072</c:v>
                </c:pt>
                <c:pt idx="48">
                  <c:v>0.99348092938108179</c:v>
                </c:pt>
                <c:pt idx="49">
                  <c:v>0.99225421172355854</c:v>
                </c:pt>
                <c:pt idx="50">
                  <c:v>0.99087572078160469</c:v>
                </c:pt>
                <c:pt idx="51">
                  <c:v>0.98671074073651432</c:v>
                </c:pt>
                <c:pt idx="52">
                  <c:v>0.98142406377785929</c:v>
                </c:pt>
                <c:pt idx="53">
                  <c:v>0.97491350179298164</c:v>
                </c:pt>
                <c:pt idx="54">
                  <c:v>0.96709838027361161</c:v>
                </c:pt>
                <c:pt idx="55">
                  <c:v>0.95792098018556182</c:v>
                </c:pt>
                <c:pt idx="56">
                  <c:v>0.94734698265628881</c:v>
                </c:pt>
                <c:pt idx="57">
                  <c:v>0.93536507676082858</c:v>
                </c:pt>
                <c:pt idx="58">
                  <c:v>0.92198589259072239</c:v>
                </c:pt>
                <c:pt idx="59">
                  <c:v>0.90724041476774175</c:v>
                </c:pt>
                <c:pt idx="60">
                  <c:v>0.89117801891415116</c:v>
                </c:pt>
                <c:pt idx="61">
                  <c:v>0.87386425774616372</c:v>
                </c:pt>
                <c:pt idx="62">
                  <c:v>0.85537850617549194</c:v>
                </c:pt>
                <c:pt idx="63">
                  <c:v>0.8358115573243079</c:v>
                </c:pt>
                <c:pt idx="64">
                  <c:v>0.81526324452377186</c:v>
                </c:pt>
                <c:pt idx="65">
                  <c:v>0.79384014871835307</c:v>
                </c:pt>
                <c:pt idx="66">
                  <c:v>0.77165343655731522</c:v>
                </c:pt>
                <c:pt idx="67">
                  <c:v>0.74881686197767361</c:v>
                </c:pt>
                <c:pt idx="68">
                  <c:v>0.72544495330960435</c:v>
                </c:pt>
                <c:pt idx="69">
                  <c:v>0.70165139882467442</c:v>
                </c:pt>
                <c:pt idx="70">
                  <c:v>0.67754763610454338</c:v>
                </c:pt>
                <c:pt idx="71">
                  <c:v>0.65324164450486966</c:v>
                </c:pt>
                <c:pt idx="72">
                  <c:v>0.62883693517987327</c:v>
                </c:pt>
                <c:pt idx="73">
                  <c:v>0.60443172946417201</c:v>
                </c:pt>
                <c:pt idx="74">
                  <c:v>0.5801183137277619</c:v>
                </c:pt>
                <c:pt idx="75">
                  <c:v>0.55598255698120203</c:v>
                </c:pt>
                <c:pt idx="76">
                  <c:v>0.53210357637471517</c:v>
                </c:pt>
                <c:pt idx="77">
                  <c:v>0.50855353518234403</c:v>
                </c:pt>
                <c:pt idx="78">
                  <c:v>0.4853975577785965</c:v>
                </c:pt>
                <c:pt idx="79">
                  <c:v>0.46269374640135985</c:v>
                </c:pt>
                <c:pt idx="80">
                  <c:v>0.44049328506521213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D3-4CF8-A6E1-F633FBAA37E8}"/>
            </c:ext>
          </c:extLst>
        </c:ser>
        <c:ser>
          <c:idx val="5"/>
          <c:order val="5"/>
          <c:tx>
            <c:strRef>
              <c:f>ERLANG!$G$3</c:f>
              <c:strCache>
                <c:ptCount val="1"/>
                <c:pt idx="0">
                  <c:v>a=2 ; l = 2</c:v>
                </c:pt>
              </c:strCache>
            </c:strRef>
          </c:tx>
          <c:spPr>
            <a:ln w="12700">
              <a:solidFill>
                <a:srgbClr val="FF9900"/>
              </a:solidFill>
              <a:prstDash val="lgDashDot"/>
            </a:ln>
          </c:spPr>
          <c:marker>
            <c:symbol val="none"/>
          </c:marker>
          <c:xVal>
            <c:numRef>
              <c:f>ERLANG!$A$4:$A$84</c:f>
              <c:numCache>
                <c:formatCode>General</c:formatCode>
                <c:ptCount val="8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1.1000000000000003</c:v>
                </c:pt>
                <c:pt idx="22">
                  <c:v>1.2000000000000004</c:v>
                </c:pt>
                <c:pt idx="23">
                  <c:v>1.3000000000000005</c:v>
                </c:pt>
                <c:pt idx="24">
                  <c:v>1.4000000000000006</c:v>
                </c:pt>
                <c:pt idx="25">
                  <c:v>1.5000000000000007</c:v>
                </c:pt>
                <c:pt idx="26">
                  <c:v>1.6000000000000008</c:v>
                </c:pt>
                <c:pt idx="27">
                  <c:v>1.7000000000000008</c:v>
                </c:pt>
                <c:pt idx="28">
                  <c:v>1.8000000000000009</c:v>
                </c:pt>
                <c:pt idx="29">
                  <c:v>1.900000000000001</c:v>
                </c:pt>
                <c:pt idx="30">
                  <c:v>2.0000000000000009</c:v>
                </c:pt>
                <c:pt idx="31">
                  <c:v>2.100000000000001</c:v>
                </c:pt>
                <c:pt idx="32">
                  <c:v>2.2000000000000011</c:v>
                </c:pt>
                <c:pt idx="33">
                  <c:v>2.3000000000000012</c:v>
                </c:pt>
                <c:pt idx="34">
                  <c:v>2.4000000000000012</c:v>
                </c:pt>
                <c:pt idx="35">
                  <c:v>2.5000000000000013</c:v>
                </c:pt>
                <c:pt idx="36">
                  <c:v>2.6000000000000014</c:v>
                </c:pt>
                <c:pt idx="37">
                  <c:v>2.7000000000000015</c:v>
                </c:pt>
                <c:pt idx="38">
                  <c:v>2.8000000000000016</c:v>
                </c:pt>
                <c:pt idx="39">
                  <c:v>2.9000000000000017</c:v>
                </c:pt>
                <c:pt idx="40">
                  <c:v>3.0000000000000018</c:v>
                </c:pt>
                <c:pt idx="41">
                  <c:v>3.200000000000002</c:v>
                </c:pt>
                <c:pt idx="42">
                  <c:v>3.4000000000000021</c:v>
                </c:pt>
                <c:pt idx="43">
                  <c:v>3.6000000000000023</c:v>
                </c:pt>
                <c:pt idx="44">
                  <c:v>3.8000000000000025</c:v>
                </c:pt>
                <c:pt idx="45">
                  <c:v>4.0000000000000027</c:v>
                </c:pt>
                <c:pt idx="46">
                  <c:v>4.2000000000000028</c:v>
                </c:pt>
                <c:pt idx="47">
                  <c:v>4.400000000000003</c:v>
                </c:pt>
                <c:pt idx="48">
                  <c:v>4.6000000000000032</c:v>
                </c:pt>
                <c:pt idx="49">
                  <c:v>4.8000000000000034</c:v>
                </c:pt>
                <c:pt idx="50">
                  <c:v>5.0000000000000036</c:v>
                </c:pt>
                <c:pt idx="51">
                  <c:v>5.5000000000000036</c:v>
                </c:pt>
                <c:pt idx="52">
                  <c:v>6.0000000000000036</c:v>
                </c:pt>
                <c:pt idx="53">
                  <c:v>6.5000000000000036</c:v>
                </c:pt>
                <c:pt idx="54">
                  <c:v>7.0000000000000036</c:v>
                </c:pt>
                <c:pt idx="55">
                  <c:v>7.5000000000000036</c:v>
                </c:pt>
                <c:pt idx="56">
                  <c:v>8.0000000000000036</c:v>
                </c:pt>
                <c:pt idx="57">
                  <c:v>8.5000000000000036</c:v>
                </c:pt>
                <c:pt idx="58">
                  <c:v>9.0000000000000036</c:v>
                </c:pt>
                <c:pt idx="59">
                  <c:v>9.5000000000000036</c:v>
                </c:pt>
                <c:pt idx="60">
                  <c:v>10.000000000000004</c:v>
                </c:pt>
                <c:pt idx="61">
                  <c:v>10.500000000000004</c:v>
                </c:pt>
                <c:pt idx="62">
                  <c:v>11.000000000000004</c:v>
                </c:pt>
                <c:pt idx="63">
                  <c:v>11.500000000000004</c:v>
                </c:pt>
                <c:pt idx="64">
                  <c:v>12.000000000000004</c:v>
                </c:pt>
                <c:pt idx="65">
                  <c:v>12.500000000000004</c:v>
                </c:pt>
                <c:pt idx="66">
                  <c:v>13.000000000000004</c:v>
                </c:pt>
                <c:pt idx="67">
                  <c:v>13.500000000000004</c:v>
                </c:pt>
                <c:pt idx="68">
                  <c:v>14.000000000000004</c:v>
                </c:pt>
                <c:pt idx="69">
                  <c:v>14.500000000000004</c:v>
                </c:pt>
                <c:pt idx="70">
                  <c:v>15.000000000000004</c:v>
                </c:pt>
                <c:pt idx="71">
                  <c:v>15.500000000000004</c:v>
                </c:pt>
                <c:pt idx="72">
                  <c:v>16.000000000000004</c:v>
                </c:pt>
                <c:pt idx="73">
                  <c:v>16.500000000000004</c:v>
                </c:pt>
                <c:pt idx="74">
                  <c:v>17.000000000000004</c:v>
                </c:pt>
                <c:pt idx="75">
                  <c:v>17.500000000000004</c:v>
                </c:pt>
                <c:pt idx="76">
                  <c:v>18.000000000000004</c:v>
                </c:pt>
                <c:pt idx="77">
                  <c:v>18.500000000000004</c:v>
                </c:pt>
                <c:pt idx="78">
                  <c:v>19.000000000000004</c:v>
                </c:pt>
                <c:pt idx="79">
                  <c:v>19.500000000000004</c:v>
                </c:pt>
                <c:pt idx="80">
                  <c:v>20.000000000000004</c:v>
                </c:pt>
              </c:numCache>
            </c:numRef>
          </c:xVal>
          <c:yVal>
            <c:numRef>
              <c:f>ERLANG!$G$4:$G$84</c:f>
              <c:numCache>
                <c:formatCode>0.00%</c:formatCode>
                <c:ptCount val="81"/>
                <c:pt idx="0">
                  <c:v>1</c:v>
                </c:pt>
                <c:pt idx="1">
                  <c:v>0.99969265982904099</c:v>
                </c:pt>
                <c:pt idx="2">
                  <c:v>0.99879089572574975</c:v>
                </c:pt>
                <c:pt idx="3">
                  <c:v>0.9973242478031944</c:v>
                </c:pt>
                <c:pt idx="4">
                  <c:v>0.99532115983955549</c:v>
                </c:pt>
                <c:pt idx="5">
                  <c:v>0.99280901540766986</c:v>
                </c:pt>
                <c:pt idx="6">
                  <c:v>0.98981417288881646</c:v>
                </c:pt>
                <c:pt idx="7">
                  <c:v>0.98636199940381863</c:v>
                </c:pt>
                <c:pt idx="8">
                  <c:v>0.98247690369357821</c:v>
                </c:pt>
                <c:pt idx="9">
                  <c:v>0.97818236798023683</c:v>
                </c:pt>
                <c:pt idx="10">
                  <c:v>0.97350097883925613</c:v>
                </c:pt>
                <c:pt idx="11">
                  <c:v>0.96845445711183475</c:v>
                </c:pt>
                <c:pt idx="12">
                  <c:v>0.96306368688623323</c:v>
                </c:pt>
                <c:pt idx="13">
                  <c:v>0.95734874357574562</c:v>
                </c:pt>
                <c:pt idx="14">
                  <c:v>0.95132892112026313</c:v>
                </c:pt>
                <c:pt idx="15">
                  <c:v>0.94502275833758675</c:v>
                </c:pt>
                <c:pt idx="16">
                  <c:v>0.93844806444989504</c:v>
                </c:pt>
                <c:pt idx="17">
                  <c:v>0.93162194381003227</c:v>
                </c:pt>
                <c:pt idx="18">
                  <c:v>0.92456081985157124</c:v>
                </c:pt>
                <c:pt idx="19">
                  <c:v>0.91728045828590454</c:v>
                </c:pt>
                <c:pt idx="20">
                  <c:v>0.90979598956895014</c:v>
                </c:pt>
                <c:pt idx="21">
                  <c:v>0.89427220608975433</c:v>
                </c:pt>
                <c:pt idx="22">
                  <c:v>0.87809861775044229</c:v>
                </c:pt>
                <c:pt idx="23">
                  <c:v>0.86137553165567637</c:v>
                </c:pt>
                <c:pt idx="24">
                  <c:v>0.84419501644539607</c:v>
                </c:pt>
                <c:pt idx="25">
                  <c:v>0.82664146729677568</c:v>
                </c:pt>
                <c:pt idx="26">
                  <c:v>0.80879213541099881</c:v>
                </c:pt>
                <c:pt idx="27">
                  <c:v>0.79071762410514423</c:v>
                </c:pt>
                <c:pt idx="28">
                  <c:v>0.77248235350713812</c:v>
                </c:pt>
                <c:pt idx="29">
                  <c:v>0.75414499573627714</c:v>
                </c:pt>
                <c:pt idx="30">
                  <c:v>0.73575888234288456</c:v>
                </c:pt>
                <c:pt idx="31">
                  <c:v>0.71737238567786832</c:v>
                </c:pt>
                <c:pt idx="32">
                  <c:v>0.69902927576596685</c:v>
                </c:pt>
                <c:pt idx="33">
                  <c:v>0.68076905416496403</c:v>
                </c:pt>
                <c:pt idx="34">
                  <c:v>0.66262726620684442</c:v>
                </c:pt>
                <c:pt idx="35">
                  <c:v>0.64463579293542739</c:v>
                </c:pt>
                <c:pt idx="36">
                  <c:v>0.6268231239782287</c:v>
                </c:pt>
                <c:pt idx="37">
                  <c:v>0.60921461251784481</c:v>
                </c:pt>
                <c:pt idx="38">
                  <c:v>0.59183271345985511</c:v>
                </c:pt>
                <c:pt idx="39">
                  <c:v>0.57469720582980388</c:v>
                </c:pt>
                <c:pt idx="40">
                  <c:v>0.55782540037107409</c:v>
                </c:pt>
                <c:pt idx="41">
                  <c:v>0.52493094678610386</c:v>
                </c:pt>
                <c:pt idx="42">
                  <c:v>0.493245514942383</c:v>
                </c:pt>
                <c:pt idx="43">
                  <c:v>0.4628368870204419</c:v>
                </c:pt>
                <c:pt idx="44">
                  <c:v>0.4337489957456413</c:v>
                </c:pt>
                <c:pt idx="45">
                  <c:v>0.40600584970983777</c:v>
                </c:pt>
                <c:pt idx="46">
                  <c:v>0.37961492758424353</c:v>
                </c:pt>
                <c:pt idx="47">
                  <c:v>0.35457010675946798</c:v>
                </c:pt>
                <c:pt idx="48">
                  <c:v>0.33085418428525193</c:v>
                </c:pt>
                <c:pt idx="49">
                  <c:v>0.30844104118400217</c:v>
                </c:pt>
                <c:pt idx="50">
                  <c:v>0.28729749518364534</c:v>
                </c:pt>
                <c:pt idx="51">
                  <c:v>0.23972947952515311</c:v>
                </c:pt>
                <c:pt idx="52">
                  <c:v>0.19914827347145547</c:v>
                </c:pt>
                <c:pt idx="53">
                  <c:v>0.16479038328481832</c:v>
                </c:pt>
                <c:pt idx="54">
                  <c:v>0.1358882254004331</c:v>
                </c:pt>
                <c:pt idx="55">
                  <c:v>0.11170929281604303</c:v>
                </c:pt>
                <c:pt idx="56">
                  <c:v>9.1578194443670768E-2</c:v>
                </c:pt>
                <c:pt idx="57">
                  <c:v>7.4887228022246011E-2</c:v>
                </c:pt>
                <c:pt idx="58">
                  <c:v>6.1099480960332575E-2</c:v>
                </c:pt>
                <c:pt idx="59">
                  <c:v>4.9747247417943563E-2</c:v>
                </c:pt>
                <c:pt idx="60">
                  <c:v>4.0427681994512743E-2</c:v>
                </c:pt>
                <c:pt idx="61">
                  <c:v>3.2796989994883674E-2</c:v>
                </c:pt>
                <c:pt idx="62">
                  <c:v>2.6564014350016318E-2</c:v>
                </c:pt>
                <c:pt idx="63">
                  <c:v>2.1483770376440225E-2</c:v>
                </c:pt>
                <c:pt idx="64">
                  <c:v>1.7351265236664526E-2</c:v>
                </c:pt>
                <c:pt idx="65">
                  <c:v>1.3995792487650816E-2</c:v>
                </c:pt>
                <c:pt idx="66">
                  <c:v>1.1275793947331803E-2</c:v>
                </c:pt>
                <c:pt idx="67">
                  <c:v>9.0743170611315982E-3</c:v>
                </c:pt>
                <c:pt idx="68">
                  <c:v>7.2950557244361169E-3</c:v>
                </c:pt>
                <c:pt idx="69">
                  <c:v>5.8589387079510669E-3</c:v>
                </c:pt>
                <c:pt idx="70">
                  <c:v>4.7012171462565977E-3</c:v>
                </c:pt>
                <c:pt idx="71">
                  <c:v>3.7689972300372077E-3</c:v>
                </c:pt>
                <c:pt idx="72">
                  <c:v>3.0191636511225362E-3</c:v>
                </c:pt>
                <c:pt idx="73">
                  <c:v>2.416641655040408E-3</c:v>
                </c:pt>
                <c:pt idx="74">
                  <c:v>1.9329495056010781E-3</c:v>
                </c:pt>
                <c:pt idx="75">
                  <c:v>1.5449979198784991E-3</c:v>
                </c:pt>
                <c:pt idx="76">
                  <c:v>1.2340980408667157E-3</c:v>
                </c:pt>
                <c:pt idx="77">
                  <c:v>9.8514443362929249E-4</c:v>
                </c:pt>
                <c:pt idx="78">
                  <c:v>7.8594421382083279E-4</c:v>
                </c:pt>
                <c:pt idx="79">
                  <c:v>6.2666763510677015E-4</c:v>
                </c:pt>
                <c:pt idx="80">
                  <c:v>4.9939922738739817E-4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D3-4CF8-A6E1-F633FBAA37E8}"/>
            </c:ext>
          </c:extLst>
        </c:ser>
        <c:ser>
          <c:idx val="6"/>
          <c:order val="6"/>
          <c:tx>
            <c:strRef>
              <c:f>ERLANG!$H$3</c:f>
              <c:strCache>
                <c:ptCount val="1"/>
                <c:pt idx="0">
                  <c:v>a=3 ; l = 2</c:v>
                </c:pt>
              </c:strCache>
            </c:strRef>
          </c:tx>
          <c:spPr>
            <a:ln w="12700">
              <a:solidFill>
                <a:srgbClr val="9999FF"/>
              </a:solidFill>
              <a:prstDash val="lgDash"/>
            </a:ln>
          </c:spPr>
          <c:marker>
            <c:symbol val="none"/>
          </c:marker>
          <c:xVal>
            <c:numRef>
              <c:f>ERLANG!$A$4:$A$84</c:f>
              <c:numCache>
                <c:formatCode>General</c:formatCode>
                <c:ptCount val="8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1.1000000000000003</c:v>
                </c:pt>
                <c:pt idx="22">
                  <c:v>1.2000000000000004</c:v>
                </c:pt>
                <c:pt idx="23">
                  <c:v>1.3000000000000005</c:v>
                </c:pt>
                <c:pt idx="24">
                  <c:v>1.4000000000000006</c:v>
                </c:pt>
                <c:pt idx="25">
                  <c:v>1.5000000000000007</c:v>
                </c:pt>
                <c:pt idx="26">
                  <c:v>1.6000000000000008</c:v>
                </c:pt>
                <c:pt idx="27">
                  <c:v>1.7000000000000008</c:v>
                </c:pt>
                <c:pt idx="28">
                  <c:v>1.8000000000000009</c:v>
                </c:pt>
                <c:pt idx="29">
                  <c:v>1.900000000000001</c:v>
                </c:pt>
                <c:pt idx="30">
                  <c:v>2.0000000000000009</c:v>
                </c:pt>
                <c:pt idx="31">
                  <c:v>2.100000000000001</c:v>
                </c:pt>
                <c:pt idx="32">
                  <c:v>2.2000000000000011</c:v>
                </c:pt>
                <c:pt idx="33">
                  <c:v>2.3000000000000012</c:v>
                </c:pt>
                <c:pt idx="34">
                  <c:v>2.4000000000000012</c:v>
                </c:pt>
                <c:pt idx="35">
                  <c:v>2.5000000000000013</c:v>
                </c:pt>
                <c:pt idx="36">
                  <c:v>2.6000000000000014</c:v>
                </c:pt>
                <c:pt idx="37">
                  <c:v>2.7000000000000015</c:v>
                </c:pt>
                <c:pt idx="38">
                  <c:v>2.8000000000000016</c:v>
                </c:pt>
                <c:pt idx="39">
                  <c:v>2.9000000000000017</c:v>
                </c:pt>
                <c:pt idx="40">
                  <c:v>3.0000000000000018</c:v>
                </c:pt>
                <c:pt idx="41">
                  <c:v>3.200000000000002</c:v>
                </c:pt>
                <c:pt idx="42">
                  <c:v>3.4000000000000021</c:v>
                </c:pt>
                <c:pt idx="43">
                  <c:v>3.6000000000000023</c:v>
                </c:pt>
                <c:pt idx="44">
                  <c:v>3.8000000000000025</c:v>
                </c:pt>
                <c:pt idx="45">
                  <c:v>4.0000000000000027</c:v>
                </c:pt>
                <c:pt idx="46">
                  <c:v>4.2000000000000028</c:v>
                </c:pt>
                <c:pt idx="47">
                  <c:v>4.400000000000003</c:v>
                </c:pt>
                <c:pt idx="48">
                  <c:v>4.6000000000000032</c:v>
                </c:pt>
                <c:pt idx="49">
                  <c:v>4.8000000000000034</c:v>
                </c:pt>
                <c:pt idx="50">
                  <c:v>5.0000000000000036</c:v>
                </c:pt>
                <c:pt idx="51">
                  <c:v>5.5000000000000036</c:v>
                </c:pt>
                <c:pt idx="52">
                  <c:v>6.0000000000000036</c:v>
                </c:pt>
                <c:pt idx="53">
                  <c:v>6.5000000000000036</c:v>
                </c:pt>
                <c:pt idx="54">
                  <c:v>7.0000000000000036</c:v>
                </c:pt>
                <c:pt idx="55">
                  <c:v>7.5000000000000036</c:v>
                </c:pt>
                <c:pt idx="56">
                  <c:v>8.0000000000000036</c:v>
                </c:pt>
                <c:pt idx="57">
                  <c:v>8.5000000000000036</c:v>
                </c:pt>
                <c:pt idx="58">
                  <c:v>9.0000000000000036</c:v>
                </c:pt>
                <c:pt idx="59">
                  <c:v>9.5000000000000036</c:v>
                </c:pt>
                <c:pt idx="60">
                  <c:v>10.000000000000004</c:v>
                </c:pt>
                <c:pt idx="61">
                  <c:v>10.500000000000004</c:v>
                </c:pt>
                <c:pt idx="62">
                  <c:v>11.000000000000004</c:v>
                </c:pt>
                <c:pt idx="63">
                  <c:v>11.500000000000004</c:v>
                </c:pt>
                <c:pt idx="64">
                  <c:v>12.000000000000004</c:v>
                </c:pt>
                <c:pt idx="65">
                  <c:v>12.500000000000004</c:v>
                </c:pt>
                <c:pt idx="66">
                  <c:v>13.000000000000004</c:v>
                </c:pt>
                <c:pt idx="67">
                  <c:v>13.500000000000004</c:v>
                </c:pt>
                <c:pt idx="68">
                  <c:v>14.000000000000004</c:v>
                </c:pt>
                <c:pt idx="69">
                  <c:v>14.500000000000004</c:v>
                </c:pt>
                <c:pt idx="70">
                  <c:v>15.000000000000004</c:v>
                </c:pt>
                <c:pt idx="71">
                  <c:v>15.500000000000004</c:v>
                </c:pt>
                <c:pt idx="72">
                  <c:v>16.000000000000004</c:v>
                </c:pt>
                <c:pt idx="73">
                  <c:v>16.500000000000004</c:v>
                </c:pt>
                <c:pt idx="74">
                  <c:v>17.000000000000004</c:v>
                </c:pt>
                <c:pt idx="75">
                  <c:v>17.500000000000004</c:v>
                </c:pt>
                <c:pt idx="76">
                  <c:v>18.000000000000004</c:v>
                </c:pt>
                <c:pt idx="77">
                  <c:v>18.500000000000004</c:v>
                </c:pt>
                <c:pt idx="78">
                  <c:v>19.000000000000004</c:v>
                </c:pt>
                <c:pt idx="79">
                  <c:v>19.500000000000004</c:v>
                </c:pt>
                <c:pt idx="80">
                  <c:v>20.000000000000004</c:v>
                </c:pt>
              </c:numCache>
            </c:numRef>
          </c:xVal>
          <c:yVal>
            <c:numRef>
              <c:f>ERLANG!$H$4:$H$84</c:f>
              <c:numCache>
                <c:formatCode>0.00%</c:formatCode>
                <c:ptCount val="81"/>
                <c:pt idx="0">
                  <c:v>1</c:v>
                </c:pt>
                <c:pt idx="1">
                  <c:v>0.99999744417654979</c:v>
                </c:pt>
                <c:pt idx="2">
                  <c:v>0.99997993250637562</c:v>
                </c:pt>
                <c:pt idx="3">
                  <c:v>0.99993352635849342</c:v>
                </c:pt>
                <c:pt idx="4">
                  <c:v>0.99984534692973537</c:v>
                </c:pt>
                <c:pt idx="5">
                  <c:v>0.99970352245911198</c:v>
                </c:pt>
                <c:pt idx="6">
                  <c:v>0.99949713762359838</c:v>
                </c:pt>
                <c:pt idx="7">
                  <c:v>0.99921618503434717</c:v>
                </c:pt>
                <c:pt idx="8">
                  <c:v>0.99885151875513789</c:v>
                </c:pt>
                <c:pt idx="9">
                  <c:v>0.99839480976758366</c:v>
                </c:pt>
                <c:pt idx="10">
                  <c:v>0.99783850331023749</c:v>
                </c:pt>
                <c:pt idx="11">
                  <c:v>0.99717577802127888</c:v>
                </c:pt>
                <c:pt idx="12">
                  <c:v>0.9964005068169105</c:v>
                </c:pt>
                <c:pt idx="13">
                  <c:v>0.99550721943996756</c:v>
                </c:pt>
                <c:pt idx="14">
                  <c:v>0.99449106661553432</c:v>
                </c:pt>
                <c:pt idx="15">
                  <c:v>0.99334778575257698</c:v>
                </c:pt>
                <c:pt idx="16">
                  <c:v>0.99207366813274611</c:v>
                </c:pt>
                <c:pt idx="17">
                  <c:v>0.99066552752957171</c:v>
                </c:pt>
                <c:pt idx="18">
                  <c:v>0.98912067020327576</c:v>
                </c:pt>
                <c:pt idx="19">
                  <c:v>0.98743686621836468</c:v>
                </c:pt>
                <c:pt idx="20">
                  <c:v>0.98561232203302929</c:v>
                </c:pt>
                <c:pt idx="21">
                  <c:v>0.98153586490980294</c:v>
                </c:pt>
                <c:pt idx="22">
                  <c:v>0.97688471224736706</c:v>
                </c:pt>
                <c:pt idx="23">
                  <c:v>0.97165770199644108</c:v>
                </c:pt>
                <c:pt idx="24">
                  <c:v>0.96585841587429144</c:v>
                </c:pt>
                <c:pt idx="25">
                  <c:v>0.95949456025518609</c:v>
                </c:pt>
                <c:pt idx="26">
                  <c:v>0.95257740392850976</c:v>
                </c:pt>
                <c:pt idx="27">
                  <c:v>0.94512126827162179</c:v>
                </c:pt>
                <c:pt idx="28">
                  <c:v>0.93714306570208084</c:v>
                </c:pt>
                <c:pt idx="29">
                  <c:v>0.92866188257012094</c:v>
                </c:pt>
                <c:pt idx="30">
                  <c:v>0.91969860292860572</c:v>
                </c:pt>
                <c:pt idx="31">
                  <c:v>0.91027556987539282</c:v>
                </c:pt>
                <c:pt idx="32">
                  <c:v>0.9004162814033051</c:v>
                </c:pt>
                <c:pt idx="33">
                  <c:v>0.89014511791686324</c:v>
                </c:pt>
                <c:pt idx="34">
                  <c:v>0.87948709878362996</c:v>
                </c:pt>
                <c:pt idx="35">
                  <c:v>0.86846766548245102</c:v>
                </c:pt>
                <c:pt idx="36">
                  <c:v>0.85711248909196946</c:v>
                </c:pt>
                <c:pt idx="37">
                  <c:v>0.84544730003141344</c:v>
                </c:pt>
                <c:pt idx="38">
                  <c:v>0.83349773812262962</c:v>
                </c:pt>
                <c:pt idx="39">
                  <c:v>0.82128922118840886</c:v>
                </c:pt>
                <c:pt idx="40">
                  <c:v>0.80884683053805806</c:v>
                </c:pt>
                <c:pt idx="41">
                  <c:v>0.78335848981926282</c:v>
                </c:pt>
                <c:pt idx="42">
                  <c:v>0.75722320719858482</c:v>
                </c:pt>
                <c:pt idx="43">
                  <c:v>0.73062108593941211</c:v>
                </c:pt>
                <c:pt idx="44">
                  <c:v>0.70372035344249739</c:v>
                </c:pt>
                <c:pt idx="45">
                  <c:v>0.67667641618306296</c:v>
                </c:pt>
                <c:pt idx="46">
                  <c:v>0.64963135188206844</c:v>
                </c:pt>
                <c:pt idx="47">
                  <c:v>0.62271374999631601</c:v>
                </c:pt>
                <c:pt idx="48">
                  <c:v>0.5960388259320677</c:v>
                </c:pt>
                <c:pt idx="49">
                  <c:v>0.56970874665751015</c:v>
                </c:pt>
                <c:pt idx="50">
                  <c:v>0.54381311588332926</c:v>
                </c:pt>
                <c:pt idx="51">
                  <c:v>0.48145670471301594</c:v>
                </c:pt>
                <c:pt idx="52">
                  <c:v>0.42319008112684309</c:v>
                </c:pt>
                <c:pt idx="53">
                  <c:v>0.36956666839610008</c:v>
                </c:pt>
                <c:pt idx="54">
                  <c:v>0.32084719886213375</c:v>
                </c:pt>
                <c:pt idx="55">
                  <c:v>0.27706844336610703</c:v>
                </c:pt>
                <c:pt idx="56">
                  <c:v>0.23810330555354409</c:v>
                </c:pt>
                <c:pt idx="57">
                  <c:v>0.20371109051289538</c:v>
                </c:pt>
                <c:pt idx="58">
                  <c:v>0.17357807091003585</c:v>
                </c:pt>
                <c:pt idx="59">
                  <c:v>0.14734918392814811</c:v>
                </c:pt>
                <c:pt idx="60">
                  <c:v>0.12465201948308091</c:v>
                </c:pt>
                <c:pt idx="61">
                  <c:v>0.10511435293360205</c:v>
                </c:pt>
                <c:pt idx="62">
                  <c:v>8.8376432356785273E-2</c:v>
                </c:pt>
                <c:pt idx="63">
                  <c:v>7.4099115418740591E-2</c:v>
                </c:pt>
                <c:pt idx="64">
                  <c:v>6.1968804416658863E-2</c:v>
                </c:pt>
                <c:pt idx="65">
                  <c:v>5.1699974835848206E-2</c:v>
                </c:pt>
                <c:pt idx="66">
                  <c:v>4.3035946898982935E-2</c:v>
                </c:pt>
                <c:pt idx="67">
                  <c:v>3.5748418422280492E-2</c:v>
                </c:pt>
                <c:pt idx="68">
                  <c:v>2.9636163880521815E-2</c:v>
                </c:pt>
                <c:pt idx="69">
                  <c:v>2.452320936471919E-2</c:v>
                </c:pt>
                <c:pt idx="70">
                  <c:v>2.0256715056664376E-2</c:v>
                </c:pt>
                <c:pt idx="71">
                  <c:v>1.6704734151700817E-2</c:v>
                </c:pt>
                <c:pt idx="72">
                  <c:v>1.3753967744002948E-2</c:v>
                </c:pt>
                <c:pt idx="73">
                  <c:v>1.1307596933212816E-2</c:v>
                </c:pt>
                <c:pt idx="74">
                  <c:v>9.2832443361106076E-3</c:v>
                </c:pt>
                <c:pt idx="75">
                  <c:v>7.6110955219659271E-3</c:v>
                </c:pt>
                <c:pt idx="76">
                  <c:v>6.2321951063772918E-3</c:v>
                </c:pt>
                <c:pt idx="77">
                  <c:v>5.0969210483808869E-3</c:v>
                </c:pt>
                <c:pt idx="78">
                  <c:v>4.1636330375033337E-3</c:v>
                </c:pt>
                <c:pt idx="79">
                  <c:v>3.3974858705647648E-3</c:v>
                </c:pt>
                <c:pt idx="80">
                  <c:v>2.7693957155114912E-3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D3-4CF8-A6E1-F633FBAA37E8}"/>
            </c:ext>
          </c:extLst>
        </c:ser>
        <c:ser>
          <c:idx val="7"/>
          <c:order val="7"/>
          <c:tx>
            <c:strRef>
              <c:f>ERLANG!$I$3</c:f>
              <c:strCache>
                <c:ptCount val="1"/>
                <c:pt idx="0">
                  <c:v>a=5 ; l = 2</c:v>
                </c:pt>
              </c:strCache>
            </c:strRef>
          </c:tx>
          <c:spPr>
            <a:ln w="12700">
              <a:solidFill>
                <a:srgbClr val="FF8080"/>
              </a:solidFill>
              <a:prstDash val="lgDash"/>
            </a:ln>
          </c:spPr>
          <c:marker>
            <c:symbol val="none"/>
          </c:marker>
          <c:xVal>
            <c:numRef>
              <c:f>ERLANG!$A$4:$A$84</c:f>
              <c:numCache>
                <c:formatCode>General</c:formatCode>
                <c:ptCount val="8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1.1000000000000003</c:v>
                </c:pt>
                <c:pt idx="22">
                  <c:v>1.2000000000000004</c:v>
                </c:pt>
                <c:pt idx="23">
                  <c:v>1.3000000000000005</c:v>
                </c:pt>
                <c:pt idx="24">
                  <c:v>1.4000000000000006</c:v>
                </c:pt>
                <c:pt idx="25">
                  <c:v>1.5000000000000007</c:v>
                </c:pt>
                <c:pt idx="26">
                  <c:v>1.6000000000000008</c:v>
                </c:pt>
                <c:pt idx="27">
                  <c:v>1.7000000000000008</c:v>
                </c:pt>
                <c:pt idx="28">
                  <c:v>1.8000000000000009</c:v>
                </c:pt>
                <c:pt idx="29">
                  <c:v>1.900000000000001</c:v>
                </c:pt>
                <c:pt idx="30">
                  <c:v>2.0000000000000009</c:v>
                </c:pt>
                <c:pt idx="31">
                  <c:v>2.100000000000001</c:v>
                </c:pt>
                <c:pt idx="32">
                  <c:v>2.2000000000000011</c:v>
                </c:pt>
                <c:pt idx="33">
                  <c:v>2.3000000000000012</c:v>
                </c:pt>
                <c:pt idx="34">
                  <c:v>2.4000000000000012</c:v>
                </c:pt>
                <c:pt idx="35">
                  <c:v>2.5000000000000013</c:v>
                </c:pt>
                <c:pt idx="36">
                  <c:v>2.6000000000000014</c:v>
                </c:pt>
                <c:pt idx="37">
                  <c:v>2.7000000000000015</c:v>
                </c:pt>
                <c:pt idx="38">
                  <c:v>2.8000000000000016</c:v>
                </c:pt>
                <c:pt idx="39">
                  <c:v>2.9000000000000017</c:v>
                </c:pt>
                <c:pt idx="40">
                  <c:v>3.0000000000000018</c:v>
                </c:pt>
                <c:pt idx="41">
                  <c:v>3.200000000000002</c:v>
                </c:pt>
                <c:pt idx="42">
                  <c:v>3.4000000000000021</c:v>
                </c:pt>
                <c:pt idx="43">
                  <c:v>3.6000000000000023</c:v>
                </c:pt>
                <c:pt idx="44">
                  <c:v>3.8000000000000025</c:v>
                </c:pt>
                <c:pt idx="45">
                  <c:v>4.0000000000000027</c:v>
                </c:pt>
                <c:pt idx="46">
                  <c:v>4.2000000000000028</c:v>
                </c:pt>
                <c:pt idx="47">
                  <c:v>4.400000000000003</c:v>
                </c:pt>
                <c:pt idx="48">
                  <c:v>4.6000000000000032</c:v>
                </c:pt>
                <c:pt idx="49">
                  <c:v>4.8000000000000034</c:v>
                </c:pt>
                <c:pt idx="50">
                  <c:v>5.0000000000000036</c:v>
                </c:pt>
                <c:pt idx="51">
                  <c:v>5.5000000000000036</c:v>
                </c:pt>
                <c:pt idx="52">
                  <c:v>6.0000000000000036</c:v>
                </c:pt>
                <c:pt idx="53">
                  <c:v>6.5000000000000036</c:v>
                </c:pt>
                <c:pt idx="54">
                  <c:v>7.0000000000000036</c:v>
                </c:pt>
                <c:pt idx="55">
                  <c:v>7.5000000000000036</c:v>
                </c:pt>
                <c:pt idx="56">
                  <c:v>8.0000000000000036</c:v>
                </c:pt>
                <c:pt idx="57">
                  <c:v>8.5000000000000036</c:v>
                </c:pt>
                <c:pt idx="58">
                  <c:v>9.0000000000000036</c:v>
                </c:pt>
                <c:pt idx="59">
                  <c:v>9.5000000000000036</c:v>
                </c:pt>
                <c:pt idx="60">
                  <c:v>10.000000000000004</c:v>
                </c:pt>
                <c:pt idx="61">
                  <c:v>10.500000000000004</c:v>
                </c:pt>
                <c:pt idx="62">
                  <c:v>11.000000000000004</c:v>
                </c:pt>
                <c:pt idx="63">
                  <c:v>11.500000000000004</c:v>
                </c:pt>
                <c:pt idx="64">
                  <c:v>12.000000000000004</c:v>
                </c:pt>
                <c:pt idx="65">
                  <c:v>12.500000000000004</c:v>
                </c:pt>
                <c:pt idx="66">
                  <c:v>13.000000000000004</c:v>
                </c:pt>
                <c:pt idx="67">
                  <c:v>13.500000000000004</c:v>
                </c:pt>
                <c:pt idx="68">
                  <c:v>14.000000000000004</c:v>
                </c:pt>
                <c:pt idx="69">
                  <c:v>14.500000000000004</c:v>
                </c:pt>
                <c:pt idx="70">
                  <c:v>15.000000000000004</c:v>
                </c:pt>
                <c:pt idx="71">
                  <c:v>15.500000000000004</c:v>
                </c:pt>
                <c:pt idx="72">
                  <c:v>16.000000000000004</c:v>
                </c:pt>
                <c:pt idx="73">
                  <c:v>16.500000000000004</c:v>
                </c:pt>
                <c:pt idx="74">
                  <c:v>17.000000000000004</c:v>
                </c:pt>
                <c:pt idx="75">
                  <c:v>17.500000000000004</c:v>
                </c:pt>
                <c:pt idx="76">
                  <c:v>18.000000000000004</c:v>
                </c:pt>
                <c:pt idx="77">
                  <c:v>18.500000000000004</c:v>
                </c:pt>
                <c:pt idx="78">
                  <c:v>19.000000000000004</c:v>
                </c:pt>
                <c:pt idx="79">
                  <c:v>19.500000000000004</c:v>
                </c:pt>
                <c:pt idx="80">
                  <c:v>20.000000000000004</c:v>
                </c:pt>
              </c:numCache>
            </c:numRef>
          </c:xVal>
          <c:yVal>
            <c:numRef>
              <c:f>ERLANG!$I$4:$I$84</c:f>
              <c:numCache>
                <c:formatCode>0.00%</c:formatCode>
                <c:ptCount val="81"/>
                <c:pt idx="0">
                  <c:v>1</c:v>
                </c:pt>
                <c:pt idx="1">
                  <c:v>0.9999999999202972</c:v>
                </c:pt>
                <c:pt idx="2">
                  <c:v>0.99999999750204871</c:v>
                </c:pt>
                <c:pt idx="3">
                  <c:v>0.99999998142169866</c:v>
                </c:pt>
                <c:pt idx="4">
                  <c:v>0.99999992332198318</c:v>
                </c:pt>
                <c:pt idx="5">
                  <c:v>0.99999977080897862</c:v>
                </c:pt>
                <c:pt idx="6">
                  <c:v>0.99999944141921515</c:v>
                </c:pt>
                <c:pt idx="7">
                  <c:v>0.99999881748237252</c:v>
                </c:pt>
                <c:pt idx="8">
                  <c:v>0.999997741809447</c:v>
                </c:pt>
                <c:pt idx="9">
                  <c:v>0.99999601414042494</c:v>
                </c:pt>
                <c:pt idx="10">
                  <c:v>0.99999338828943896</c:v>
                </c:pt>
                <c:pt idx="11">
                  <c:v>0.99998956992912602</c:v>
                </c:pt>
                <c:pt idx="12">
                  <c:v>0.99998421495945833</c:v>
                </c:pt>
                <c:pt idx="13">
                  <c:v>0.99997692840968821</c:v>
                </c:pt>
                <c:pt idx="14">
                  <c:v>0.99996726382524692</c:v>
                </c:pt>
                <c:pt idx="15">
                  <c:v>0.9999547230944702</c:v>
                </c:pt>
                <c:pt idx="16">
                  <c:v>0.99993875667289767</c:v>
                </c:pt>
                <c:pt idx="17">
                  <c:v>0.9999187641656182</c:v>
                </c:pt>
                <c:pt idx="18">
                  <c:v>0.99989409523071648</c:v>
                </c:pt>
                <c:pt idx="19">
                  <c:v>0.99986405076931761</c:v>
                </c:pt>
                <c:pt idx="20">
                  <c:v>0.99982788437004411</c:v>
                </c:pt>
                <c:pt idx="21">
                  <c:v>0.9997339737595673</c:v>
                </c:pt>
                <c:pt idx="22">
                  <c:v>0.99960551398165975</c:v>
                </c:pt>
                <c:pt idx="23">
                  <c:v>0.99943502365102121</c:v>
                </c:pt>
                <c:pt idx="24">
                  <c:v>0.99921446455104701</c:v>
                </c:pt>
                <c:pt idx="25">
                  <c:v>0.99893532222721415</c:v>
                </c:pt>
                <c:pt idx="26">
                  <c:v>0.99858868985411331</c:v>
                </c:pt>
                <c:pt idx="27">
                  <c:v>0.99816535352798053</c:v>
                </c:pt>
                <c:pt idx="28">
                  <c:v>0.99765587743372242</c:v>
                </c:pt>
                <c:pt idx="29">
                  <c:v>0.99705068759813353</c:v>
                </c:pt>
                <c:pt idx="30">
                  <c:v>0.99634015317265623</c:v>
                </c:pt>
                <c:pt idx="31">
                  <c:v>0.995514664392674</c:v>
                </c:pt>
                <c:pt idx="32">
                  <c:v>0.99456470653876072</c:v>
                </c:pt>
                <c:pt idx="33">
                  <c:v>0.99348092938108179</c:v>
                </c:pt>
                <c:pt idx="34">
                  <c:v>0.99225421172355854</c:v>
                </c:pt>
                <c:pt idx="35">
                  <c:v>0.99087572078160469</c:v>
                </c:pt>
                <c:pt idx="36">
                  <c:v>0.98933696622810907</c:v>
                </c:pt>
                <c:pt idx="37">
                  <c:v>0.9876298488286428</c:v>
                </c:pt>
                <c:pt idx="38">
                  <c:v>0.98574670366017769</c:v>
                </c:pt>
                <c:pt idx="39">
                  <c:v>0.98368033796935683</c:v>
                </c:pt>
                <c:pt idx="40">
                  <c:v>0.98142406377785929</c:v>
                </c:pt>
                <c:pt idx="41">
                  <c:v>0.97631772195068822</c:v>
                </c:pt>
                <c:pt idx="42">
                  <c:v>0.97038519369546783</c:v>
                </c:pt>
                <c:pt idx="43">
                  <c:v>0.96359333899891653</c:v>
                </c:pt>
                <c:pt idx="44">
                  <c:v>0.95591859675764446</c:v>
                </c:pt>
                <c:pt idx="45">
                  <c:v>0.94734698265628869</c:v>
                </c:pt>
                <c:pt idx="46">
                  <c:v>0.93787388481999712</c:v>
                </c:pt>
                <c:pt idx="47">
                  <c:v>0.92750369114220022</c:v>
                </c:pt>
                <c:pt idx="48">
                  <c:v>0.91624928072059819</c:v>
                </c:pt>
                <c:pt idx="49">
                  <c:v>0.9041314096636005</c:v>
                </c:pt>
                <c:pt idx="50">
                  <c:v>0.89117801891415105</c:v>
                </c:pt>
                <c:pt idx="51">
                  <c:v>0.85537850617549183</c:v>
                </c:pt>
                <c:pt idx="52">
                  <c:v>0.81526324452377175</c:v>
                </c:pt>
                <c:pt idx="53">
                  <c:v>0.77165343655731511</c:v>
                </c:pt>
                <c:pt idx="54">
                  <c:v>0.72544495330960423</c:v>
                </c:pt>
                <c:pt idx="55">
                  <c:v>0.67754763610454316</c:v>
                </c:pt>
                <c:pt idx="56">
                  <c:v>0.62883693517987316</c:v>
                </c:pt>
                <c:pt idx="57">
                  <c:v>0.58011831372776179</c:v>
                </c:pt>
                <c:pt idx="58">
                  <c:v>0.53210357637471495</c:v>
                </c:pt>
                <c:pt idx="59">
                  <c:v>0.48539755777859639</c:v>
                </c:pt>
                <c:pt idx="60">
                  <c:v>0.44049328506521213</c:v>
                </c:pt>
                <c:pt idx="61">
                  <c:v>0.39777368107622801</c:v>
                </c:pt>
                <c:pt idx="62">
                  <c:v>0.3575180024279252</c:v>
                </c:pt>
                <c:pt idx="63">
                  <c:v>0.31991143053823778</c:v>
                </c:pt>
                <c:pt idx="64">
                  <c:v>0.28505650031663099</c:v>
                </c:pt>
                <c:pt idx="65">
                  <c:v>0.25298532330929802</c:v>
                </c:pt>
                <c:pt idx="66">
                  <c:v>0.22367181681149906</c:v>
                </c:pt>
                <c:pt idx="67">
                  <c:v>0.19704337509047787</c:v>
                </c:pt>
                <c:pt idx="68">
                  <c:v>0.17299160788207124</c:v>
                </c:pt>
                <c:pt idx="69">
                  <c:v>0.15138192398494077</c:v>
                </c:pt>
                <c:pt idx="70">
                  <c:v>0.13206185628772049</c:v>
                </c:pt>
                <c:pt idx="71">
                  <c:v>0.11486811277078357</c:v>
                </c:pt>
                <c:pt idx="72">
                  <c:v>9.9632400487045913E-2</c:v>
                </c:pt>
                <c:pt idx="73">
                  <c:v>8.6186110916570691E-2</c:v>
                </c:pt>
                <c:pt idx="74">
                  <c:v>7.4363979814580317E-2</c:v>
                </c:pt>
                <c:pt idx="75">
                  <c:v>6.4006846666371686E-2</c:v>
                </c:pt>
                <c:pt idx="76">
                  <c:v>5.4963641495104909E-2</c:v>
                </c:pt>
                <c:pt idx="77">
                  <c:v>4.7092722827171252E-2</c:v>
                </c:pt>
                <c:pt idx="78">
                  <c:v>4.0262682340609923E-2</c:v>
                </c:pt>
                <c:pt idx="79">
                  <c:v>3.4352720844820439E-2</c:v>
                </c:pt>
                <c:pt idx="80">
                  <c:v>2.925268807696102E-2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D3-4CF8-A6E1-F633FBAA3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669480"/>
        <c:axId val="302665560"/>
      </c:scatterChart>
      <c:valAx>
        <c:axId val="302669480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302665560"/>
        <c:crosses val="autoZero"/>
        <c:crossBetween val="midCat"/>
      </c:valAx>
      <c:valAx>
        <c:axId val="30266556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0%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302669480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5331169799283668"/>
          <c:y val="0.29099794478352931"/>
          <c:w val="0.13531088666756819"/>
          <c:h val="0.4019539569388145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Symbol"/>
              <a:ea typeface="Symbol"/>
              <a:cs typeface="Symbo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emf"/><Relationship Id="rId3" Type="http://schemas.openxmlformats.org/officeDocument/2006/relationships/image" Target="../media/image9.emf"/><Relationship Id="rId7" Type="http://schemas.openxmlformats.org/officeDocument/2006/relationships/image" Target="../media/image13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6" Type="http://schemas.openxmlformats.org/officeDocument/2006/relationships/image" Target="../media/image12.emf"/><Relationship Id="rId5" Type="http://schemas.openxmlformats.org/officeDocument/2006/relationships/image" Target="../media/image11.emf"/><Relationship Id="rId10" Type="http://schemas.openxmlformats.org/officeDocument/2006/relationships/image" Target="../media/image16.emf"/><Relationship Id="rId4" Type="http://schemas.openxmlformats.org/officeDocument/2006/relationships/image" Target="../media/image10.emf"/><Relationship Id="rId9" Type="http://schemas.openxmlformats.org/officeDocument/2006/relationships/image" Target="../media/image15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6</xdr:row>
      <xdr:rowOff>133350</xdr:rowOff>
    </xdr:from>
    <xdr:to>
      <xdr:col>10</xdr:col>
      <xdr:colOff>342900</xdr:colOff>
      <xdr:row>34</xdr:row>
      <xdr:rowOff>9525</xdr:rowOff>
    </xdr:to>
    <xdr:graphicFrame macro="">
      <xdr:nvGraphicFramePr>
        <xdr:cNvPr id="6613" name="Graphique 2">
          <a:extLst>
            <a:ext uri="{FF2B5EF4-FFF2-40B4-BE49-F238E27FC236}">
              <a16:creationId xmlns:a16="http://schemas.microsoft.com/office/drawing/2014/main" id="{00000000-0008-0000-0000-0000D51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745462</xdr:colOff>
      <xdr:row>101</xdr:row>
      <xdr:rowOff>151876</xdr:rowOff>
    </xdr:from>
    <xdr:to>
      <xdr:col>14</xdr:col>
      <xdr:colOff>309405</xdr:colOff>
      <xdr:row>123</xdr:row>
      <xdr:rowOff>32029</xdr:rowOff>
    </xdr:to>
    <xdr:pic>
      <xdr:nvPicPr>
        <xdr:cNvPr id="6616" name="Picture 282">
          <a:extLst>
            <a:ext uri="{FF2B5EF4-FFF2-40B4-BE49-F238E27FC236}">
              <a16:creationId xmlns:a16="http://schemas.microsoft.com/office/drawing/2014/main" id="{00000000-0008-0000-00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1989" y="17929085"/>
          <a:ext cx="2745921" cy="35645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44</xdr:row>
      <xdr:rowOff>66675</xdr:rowOff>
    </xdr:from>
    <xdr:to>
      <xdr:col>1</xdr:col>
      <xdr:colOff>647700</xdr:colOff>
      <xdr:row>44</xdr:row>
      <xdr:rowOff>276225</xdr:rowOff>
    </xdr:to>
    <xdr:pic>
      <xdr:nvPicPr>
        <xdr:cNvPr id="260418" name="Picture 1">
          <a:extLst>
            <a:ext uri="{FF2B5EF4-FFF2-40B4-BE49-F238E27FC236}">
              <a16:creationId xmlns:a16="http://schemas.microsoft.com/office/drawing/2014/main" id="{00000000-0008-0000-0100-000042F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7781925"/>
          <a:ext cx="14668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504825</xdr:colOff>
      <xdr:row>33</xdr:row>
      <xdr:rowOff>66675</xdr:rowOff>
    </xdr:from>
    <xdr:to>
      <xdr:col>1</xdr:col>
      <xdr:colOff>333375</xdr:colOff>
      <xdr:row>33</xdr:row>
      <xdr:rowOff>276225</xdr:rowOff>
    </xdr:to>
    <xdr:pic>
      <xdr:nvPicPr>
        <xdr:cNvPr id="260419" name="Picture 3">
          <a:extLst>
            <a:ext uri="{FF2B5EF4-FFF2-40B4-BE49-F238E27FC236}">
              <a16:creationId xmlns:a16="http://schemas.microsoft.com/office/drawing/2014/main" id="{00000000-0008-0000-0100-000043F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5638800"/>
          <a:ext cx="7905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44</xdr:row>
      <xdr:rowOff>66675</xdr:rowOff>
    </xdr:from>
    <xdr:to>
      <xdr:col>1</xdr:col>
      <xdr:colOff>647700</xdr:colOff>
      <xdr:row>44</xdr:row>
      <xdr:rowOff>276225</xdr:rowOff>
    </xdr:to>
    <xdr:pic>
      <xdr:nvPicPr>
        <xdr:cNvPr id="260420" name="Picture 4">
          <a:extLst>
            <a:ext uri="{FF2B5EF4-FFF2-40B4-BE49-F238E27FC236}">
              <a16:creationId xmlns:a16="http://schemas.microsoft.com/office/drawing/2014/main" id="{00000000-0008-0000-0100-000044F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7781925"/>
          <a:ext cx="14668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504825</xdr:colOff>
      <xdr:row>33</xdr:row>
      <xdr:rowOff>66675</xdr:rowOff>
    </xdr:from>
    <xdr:to>
      <xdr:col>1</xdr:col>
      <xdr:colOff>333375</xdr:colOff>
      <xdr:row>33</xdr:row>
      <xdr:rowOff>276225</xdr:rowOff>
    </xdr:to>
    <xdr:pic>
      <xdr:nvPicPr>
        <xdr:cNvPr id="260421" name="Picture 5">
          <a:extLst>
            <a:ext uri="{FF2B5EF4-FFF2-40B4-BE49-F238E27FC236}">
              <a16:creationId xmlns:a16="http://schemas.microsoft.com/office/drawing/2014/main" id="{00000000-0008-0000-0100-000045F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5638800"/>
          <a:ext cx="7905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44</xdr:row>
      <xdr:rowOff>66675</xdr:rowOff>
    </xdr:from>
    <xdr:to>
      <xdr:col>1</xdr:col>
      <xdr:colOff>647700</xdr:colOff>
      <xdr:row>44</xdr:row>
      <xdr:rowOff>276225</xdr:rowOff>
    </xdr:to>
    <xdr:pic>
      <xdr:nvPicPr>
        <xdr:cNvPr id="260422" name="Picture 6">
          <a:extLst>
            <a:ext uri="{FF2B5EF4-FFF2-40B4-BE49-F238E27FC236}">
              <a16:creationId xmlns:a16="http://schemas.microsoft.com/office/drawing/2014/main" id="{00000000-0008-0000-0100-000046F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7781925"/>
          <a:ext cx="14668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504825</xdr:colOff>
      <xdr:row>33</xdr:row>
      <xdr:rowOff>66675</xdr:rowOff>
    </xdr:from>
    <xdr:to>
      <xdr:col>1</xdr:col>
      <xdr:colOff>333375</xdr:colOff>
      <xdr:row>33</xdr:row>
      <xdr:rowOff>276225</xdr:rowOff>
    </xdr:to>
    <xdr:pic>
      <xdr:nvPicPr>
        <xdr:cNvPr id="260423" name="Picture 7">
          <a:extLst>
            <a:ext uri="{FF2B5EF4-FFF2-40B4-BE49-F238E27FC236}">
              <a16:creationId xmlns:a16="http://schemas.microsoft.com/office/drawing/2014/main" id="{00000000-0008-0000-0100-000047F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5638800"/>
          <a:ext cx="7905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309337</xdr:colOff>
      <xdr:row>1</xdr:row>
      <xdr:rowOff>134710</xdr:rowOff>
    </xdr:from>
    <xdr:to>
      <xdr:col>9</xdr:col>
      <xdr:colOff>904422</xdr:colOff>
      <xdr:row>25</xdr:row>
      <xdr:rowOff>134710</xdr:rowOff>
    </xdr:to>
    <xdr:graphicFrame macro="">
      <xdr:nvGraphicFramePr>
        <xdr:cNvPr id="260424" name="Graphique 9">
          <a:extLst>
            <a:ext uri="{FF2B5EF4-FFF2-40B4-BE49-F238E27FC236}">
              <a16:creationId xmlns:a16="http://schemas.microsoft.com/office/drawing/2014/main" id="{00000000-0008-0000-0100-000048F9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149225</xdr:colOff>
      <xdr:row>6</xdr:row>
      <xdr:rowOff>0</xdr:rowOff>
    </xdr:from>
    <xdr:to>
      <xdr:col>6</xdr:col>
      <xdr:colOff>841389</xdr:colOff>
      <xdr:row>6</xdr:row>
      <xdr:rowOff>1588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5076825" y="1038225"/>
          <a:ext cx="695325" cy="1588"/>
        </a:xfrm>
        <a:prstGeom prst="straightConnector1">
          <a:avLst/>
        </a:prstGeom>
        <a:ln w="1905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6</xdr:row>
      <xdr:rowOff>0</xdr:rowOff>
    </xdr:from>
    <xdr:to>
      <xdr:col>6</xdr:col>
      <xdr:colOff>38100</xdr:colOff>
      <xdr:row>21</xdr:row>
      <xdr:rowOff>73042</xdr:rowOff>
    </xdr:to>
    <xdr:cxnSp macro="">
      <xdr:nvCxnSpPr>
        <xdr:cNvPr id="16" name="Connecteur en angl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 flipV="1">
          <a:off x="1962150" y="1038225"/>
          <a:ext cx="3009900" cy="2514600"/>
        </a:xfrm>
        <a:prstGeom prst="bentConnector3">
          <a:avLst>
            <a:gd name="adj1" fmla="val 50000"/>
          </a:avLst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434975</xdr:colOff>
      <xdr:row>22</xdr:row>
      <xdr:rowOff>53976</xdr:rowOff>
    </xdr:from>
    <xdr:to>
      <xdr:col>0</xdr:col>
      <xdr:colOff>444500</xdr:colOff>
      <xdr:row>26</xdr:row>
      <xdr:rowOff>149226</xdr:rowOff>
    </xdr:to>
    <xdr:cxnSp macro="">
      <xdr:nvCxnSpPr>
        <xdr:cNvPr id="31" name="Connecteur droit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/>
      </xdr:nvCxnSpPr>
      <xdr:spPr>
        <a:xfrm rot="5400000">
          <a:off x="71438" y="4119563"/>
          <a:ext cx="742950" cy="9525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838201</xdr:colOff>
      <xdr:row>23</xdr:row>
      <xdr:rowOff>152401</xdr:rowOff>
    </xdr:from>
    <xdr:to>
      <xdr:col>6</xdr:col>
      <xdr:colOff>838203</xdr:colOff>
      <xdr:row>27</xdr:row>
      <xdr:rowOff>0</xdr:rowOff>
    </xdr:to>
    <xdr:cxnSp macro="">
      <xdr:nvCxnSpPr>
        <xdr:cNvPr id="33" name="Connecteur droit avec flèch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 rot="16200000" flipV="1">
          <a:off x="5538790" y="4252912"/>
          <a:ext cx="504824" cy="2"/>
        </a:xfrm>
        <a:prstGeom prst="straightConnector1">
          <a:avLst/>
        </a:prstGeom>
        <a:ln w="1905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415925</xdr:colOff>
      <xdr:row>26</xdr:row>
      <xdr:rowOff>149228</xdr:rowOff>
    </xdr:from>
    <xdr:to>
      <xdr:col>6</xdr:col>
      <xdr:colOff>841384</xdr:colOff>
      <xdr:row>26</xdr:row>
      <xdr:rowOff>149225</xdr:rowOff>
    </xdr:to>
    <xdr:cxnSp macro="">
      <xdr:nvCxnSpPr>
        <xdr:cNvPr id="36" name="Connecteur droit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/>
      </xdr:nvCxnSpPr>
      <xdr:spPr>
        <a:xfrm flipV="1">
          <a:off x="419100" y="4495803"/>
          <a:ext cx="5362578" cy="9522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0.54716</cdr:x>
      <cdr:y>0.17232</cdr:y>
    </cdr:from>
    <cdr:to>
      <cdr:x>0.55456</cdr:x>
      <cdr:y>0.88366</cdr:y>
    </cdr:to>
    <cdr:sp macro="" textlink="">
      <cdr:nvSpPr>
        <cdr:cNvPr id="3" name="Connecteur droit avec flèche 2"/>
        <cdr:cNvSpPr/>
      </cdr:nvSpPr>
      <cdr:spPr>
        <a:xfrm xmlns:a="http://schemas.openxmlformats.org/drawingml/2006/main" rot="16200000" flipH="1">
          <a:off x="3505201" y="676273"/>
          <a:ext cx="47625" cy="2790826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00B050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17</xdr:col>
      <xdr:colOff>628650</xdr:colOff>
      <xdr:row>21</xdr:row>
      <xdr:rowOff>104775</xdr:rowOff>
    </xdr:to>
    <xdr:pic>
      <xdr:nvPicPr>
        <xdr:cNvPr id="290840" name="Picture 4">
          <a:extLst>
            <a:ext uri="{FF2B5EF4-FFF2-40B4-BE49-F238E27FC236}">
              <a16:creationId xmlns:a16="http://schemas.microsoft.com/office/drawing/2014/main" id="{00000000-0008-0000-0400-00001870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0" y="0"/>
          <a:ext cx="5200650" cy="400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15</xdr:col>
      <xdr:colOff>485775</xdr:colOff>
      <xdr:row>27</xdr:row>
      <xdr:rowOff>28575</xdr:rowOff>
    </xdr:to>
    <xdr:pic>
      <xdr:nvPicPr>
        <xdr:cNvPr id="342027" name="Image 5">
          <a:extLst>
            <a:ext uri="{FF2B5EF4-FFF2-40B4-BE49-F238E27FC236}">
              <a16:creationId xmlns:a16="http://schemas.microsoft.com/office/drawing/2014/main" id="{00000000-0008-0000-0500-00000B38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971550"/>
          <a:ext cx="50577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8</xdr:col>
      <xdr:colOff>485775</xdr:colOff>
      <xdr:row>28</xdr:row>
      <xdr:rowOff>28575</xdr:rowOff>
    </xdr:to>
    <xdr:pic>
      <xdr:nvPicPr>
        <xdr:cNvPr id="342028" name="Image 6">
          <a:extLst>
            <a:ext uri="{FF2B5EF4-FFF2-40B4-BE49-F238E27FC236}">
              <a16:creationId xmlns:a16="http://schemas.microsoft.com/office/drawing/2014/main" id="{00000000-0008-0000-0500-00000C380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133475"/>
          <a:ext cx="50577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4</xdr:row>
      <xdr:rowOff>276225</xdr:rowOff>
    </xdr:from>
    <xdr:to>
      <xdr:col>4</xdr:col>
      <xdr:colOff>857250</xdr:colOff>
      <xdr:row>5</xdr:row>
      <xdr:rowOff>276225</xdr:rowOff>
    </xdr:to>
    <xdr:pic>
      <xdr:nvPicPr>
        <xdr:cNvPr id="58163" name="Picture 18">
          <a:extLst>
            <a:ext uri="{FF2B5EF4-FFF2-40B4-BE49-F238E27FC236}">
              <a16:creationId xmlns:a16="http://schemas.microsoft.com/office/drawing/2014/main" id="{00000000-0008-0000-0600-000033E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990600"/>
          <a:ext cx="2571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590550</xdr:colOff>
      <xdr:row>5</xdr:row>
      <xdr:rowOff>276225</xdr:rowOff>
    </xdr:from>
    <xdr:to>
      <xdr:col>4</xdr:col>
      <xdr:colOff>847725</xdr:colOff>
      <xdr:row>7</xdr:row>
      <xdr:rowOff>9525</xdr:rowOff>
    </xdr:to>
    <xdr:pic>
      <xdr:nvPicPr>
        <xdr:cNvPr id="58164" name="Picture 19">
          <a:extLst>
            <a:ext uri="{FF2B5EF4-FFF2-40B4-BE49-F238E27FC236}">
              <a16:creationId xmlns:a16="http://schemas.microsoft.com/office/drawing/2014/main" id="{00000000-0008-0000-0600-000034E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1304925"/>
          <a:ext cx="2571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714375</xdr:colOff>
      <xdr:row>8</xdr:row>
      <xdr:rowOff>66675</xdr:rowOff>
    </xdr:from>
    <xdr:to>
      <xdr:col>4</xdr:col>
      <xdr:colOff>771525</xdr:colOff>
      <xdr:row>8</xdr:row>
      <xdr:rowOff>219075</xdr:rowOff>
    </xdr:to>
    <xdr:pic>
      <xdr:nvPicPr>
        <xdr:cNvPr id="58165" name="Picture 27">
          <a:extLst>
            <a:ext uri="{FF2B5EF4-FFF2-40B4-BE49-F238E27FC236}">
              <a16:creationId xmlns:a16="http://schemas.microsoft.com/office/drawing/2014/main" id="{00000000-0008-0000-0600-000035E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2038350"/>
          <a:ext cx="57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514350</xdr:colOff>
      <xdr:row>9</xdr:row>
      <xdr:rowOff>9525</xdr:rowOff>
    </xdr:from>
    <xdr:to>
      <xdr:col>4</xdr:col>
      <xdr:colOff>981075</xdr:colOff>
      <xdr:row>10</xdr:row>
      <xdr:rowOff>28575</xdr:rowOff>
    </xdr:to>
    <xdr:pic>
      <xdr:nvPicPr>
        <xdr:cNvPr id="58166" name="Picture 47">
          <a:extLst>
            <a:ext uri="{FF2B5EF4-FFF2-40B4-BE49-F238E27FC236}">
              <a16:creationId xmlns:a16="http://schemas.microsoft.com/office/drawing/2014/main" id="{00000000-0008-0000-0600-000036E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2295525"/>
          <a:ext cx="4667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476250</xdr:colOff>
      <xdr:row>7</xdr:row>
      <xdr:rowOff>9525</xdr:rowOff>
    </xdr:from>
    <xdr:to>
      <xdr:col>4</xdr:col>
      <xdr:colOff>942975</xdr:colOff>
      <xdr:row>8</xdr:row>
      <xdr:rowOff>28575</xdr:rowOff>
    </xdr:to>
    <xdr:pic>
      <xdr:nvPicPr>
        <xdr:cNvPr id="58167" name="Picture 48">
          <a:extLst>
            <a:ext uri="{FF2B5EF4-FFF2-40B4-BE49-F238E27FC236}">
              <a16:creationId xmlns:a16="http://schemas.microsoft.com/office/drawing/2014/main" id="{00000000-0008-0000-0600-000037E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1666875"/>
          <a:ext cx="4667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1162050</xdr:colOff>
      <xdr:row>14</xdr:row>
      <xdr:rowOff>371475</xdr:rowOff>
    </xdr:to>
    <xdr:pic>
      <xdr:nvPicPr>
        <xdr:cNvPr id="58168" name="Picture 90">
          <a:extLst>
            <a:ext uri="{FF2B5EF4-FFF2-40B4-BE49-F238E27FC236}">
              <a16:creationId xmlns:a16="http://schemas.microsoft.com/office/drawing/2014/main" id="{00000000-0008-0000-0600-000038E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3619500"/>
          <a:ext cx="11620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2276475</xdr:colOff>
      <xdr:row>15</xdr:row>
      <xdr:rowOff>390525</xdr:rowOff>
    </xdr:to>
    <xdr:pic>
      <xdr:nvPicPr>
        <xdr:cNvPr id="58169" name="Picture 100">
          <a:extLst>
            <a:ext uri="{FF2B5EF4-FFF2-40B4-BE49-F238E27FC236}">
              <a16:creationId xmlns:a16="http://schemas.microsoft.com/office/drawing/2014/main" id="{00000000-0008-0000-0600-000039E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019550"/>
          <a:ext cx="22764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2438400</xdr:colOff>
      <xdr:row>16</xdr:row>
      <xdr:rowOff>561975</xdr:rowOff>
    </xdr:to>
    <xdr:pic>
      <xdr:nvPicPr>
        <xdr:cNvPr id="58170" name="Picture 117">
          <a:extLst>
            <a:ext uri="{FF2B5EF4-FFF2-40B4-BE49-F238E27FC236}">
              <a16:creationId xmlns:a16="http://schemas.microsoft.com/office/drawing/2014/main" id="{00000000-0008-0000-0600-00003AE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543425"/>
          <a:ext cx="24384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876300</xdr:colOff>
      <xdr:row>16</xdr:row>
      <xdr:rowOff>609600</xdr:rowOff>
    </xdr:from>
    <xdr:to>
      <xdr:col>4</xdr:col>
      <xdr:colOff>1619250</xdr:colOff>
      <xdr:row>18</xdr:row>
      <xdr:rowOff>0</xdr:rowOff>
    </xdr:to>
    <xdr:pic>
      <xdr:nvPicPr>
        <xdr:cNvPr id="58171" name="Picture 118">
          <a:extLst>
            <a:ext uri="{FF2B5EF4-FFF2-40B4-BE49-F238E27FC236}">
              <a16:creationId xmlns:a16="http://schemas.microsoft.com/office/drawing/2014/main" id="{00000000-0008-0000-0600-00003BE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5153025"/>
          <a:ext cx="74295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0</xdr:colOff>
      <xdr:row>18</xdr:row>
      <xdr:rowOff>542925</xdr:rowOff>
    </xdr:to>
    <xdr:pic>
      <xdr:nvPicPr>
        <xdr:cNvPr id="58172" name="Picture 338">
          <a:extLst>
            <a:ext uri="{FF2B5EF4-FFF2-40B4-BE49-F238E27FC236}">
              <a16:creationId xmlns:a16="http://schemas.microsoft.com/office/drawing/2014/main" id="{00000000-0008-0000-0600-00003CE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5495925"/>
          <a:ext cx="38481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542925</xdr:colOff>
      <xdr:row>1</xdr:row>
      <xdr:rowOff>114300</xdr:rowOff>
    </xdr:from>
    <xdr:to>
      <xdr:col>19</xdr:col>
      <xdr:colOff>133350</xdr:colOff>
      <xdr:row>29</xdr:row>
      <xdr:rowOff>85725</xdr:rowOff>
    </xdr:to>
    <xdr:graphicFrame macro="">
      <xdr:nvGraphicFramePr>
        <xdr:cNvPr id="2246" name="Graphique 1">
          <a:extLst>
            <a:ext uri="{FF2B5EF4-FFF2-40B4-BE49-F238E27FC236}">
              <a16:creationId xmlns:a16="http://schemas.microsoft.com/office/drawing/2014/main" id="{00000000-0008-0000-0700-0000C6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155576</xdr:colOff>
      <xdr:row>1</xdr:row>
      <xdr:rowOff>9524</xdr:rowOff>
    </xdr:from>
    <xdr:to>
      <xdr:col>1</xdr:col>
      <xdr:colOff>242167</xdr:colOff>
      <xdr:row>2</xdr:row>
      <xdr:rowOff>158650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 rot="16200000" flipH="1">
          <a:off x="804863" y="280987"/>
          <a:ext cx="314325" cy="952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D592-21DA-4B1C-9B27-C599F7198B38}">
  <dimension ref="A1:P11"/>
  <sheetViews>
    <sheetView workbookViewId="0"/>
  </sheetViews>
  <sheetFormatPr baseColWidth="10" defaultColWidth="25.77734375" defaultRowHeight="13.2"/>
  <sheetData>
    <row r="1" spans="1:16">
      <c r="A1" t="s">
        <v>96</v>
      </c>
      <c r="B1" t="s">
        <v>97</v>
      </c>
    </row>
    <row r="2" spans="1:16">
      <c r="A2" t="s">
        <v>98</v>
      </c>
      <c r="B2" t="s">
        <v>99</v>
      </c>
    </row>
    <row r="3" spans="1:16">
      <c r="A3" t="s">
        <v>100</v>
      </c>
      <c r="B3" t="s">
        <v>99</v>
      </c>
    </row>
    <row r="4" spans="1:16">
      <c r="A4" t="s">
        <v>101</v>
      </c>
      <c r="B4" t="s">
        <v>97</v>
      </c>
    </row>
    <row r="9" spans="1:16">
      <c r="A9" t="s">
        <v>102</v>
      </c>
      <c r="B9">
        <v>1</v>
      </c>
    </row>
    <row r="10" spans="1:16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 t="s">
        <v>110</v>
      </c>
      <c r="I10" t="s">
        <v>111</v>
      </c>
      <c r="J10" t="s">
        <v>112</v>
      </c>
      <c r="K10" t="s">
        <v>113</v>
      </c>
      <c r="L10" t="s">
        <v>114</v>
      </c>
      <c r="M10" t="s">
        <v>115</v>
      </c>
      <c r="N10" t="s">
        <v>116</v>
      </c>
      <c r="O10" t="s">
        <v>117</v>
      </c>
    </row>
    <row r="11" spans="1:16">
      <c r="A11" t="s">
        <v>118</v>
      </c>
      <c r="B11" s="84" t="s">
        <v>21</v>
      </c>
      <c r="C11" t="e">
        <f>'Arivées de Poisson'!$J$85:$J$284</f>
        <v>#VALUE!</v>
      </c>
      <c r="D11">
        <v>0</v>
      </c>
      <c r="E11" t="s">
        <v>119</v>
      </c>
      <c r="F11" t="s">
        <v>120</v>
      </c>
      <c r="J11" t="s">
        <v>121</v>
      </c>
      <c r="K11" t="s">
        <v>122</v>
      </c>
      <c r="O11">
        <v>4</v>
      </c>
      <c r="P1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"/>
  <sheetViews>
    <sheetView tabSelected="1" topLeftCell="A6" zoomScale="91" zoomScaleNormal="70" workbookViewId="0">
      <selection activeCell="L24" sqref="L24"/>
    </sheetView>
  </sheetViews>
  <sheetFormatPr baseColWidth="10" defaultRowHeight="13.2"/>
  <cols>
    <col min="9" max="9" width="22.6640625" customWidth="1"/>
    <col min="10" max="10" width="15.44140625" customWidth="1"/>
  </cols>
  <sheetData>
    <row r="1" spans="1:2">
      <c r="A1" s="38" t="s">
        <v>73</v>
      </c>
    </row>
    <row r="2" spans="1:2">
      <c r="A2" s="38"/>
    </row>
    <row r="3" spans="1:2">
      <c r="A3" s="85" t="s">
        <v>123</v>
      </c>
    </row>
    <row r="4" spans="1:2">
      <c r="A4" s="49" t="s">
        <v>0</v>
      </c>
    </row>
    <row r="5" spans="1:2">
      <c r="A5" s="38"/>
    </row>
    <row r="6" spans="1:2" ht="45.75" customHeight="1">
      <c r="A6" s="54" t="s">
        <v>84</v>
      </c>
      <c r="B6" s="118" t="s">
        <v>83</v>
      </c>
    </row>
    <row r="7" spans="1:2">
      <c r="A7" s="39">
        <v>0</v>
      </c>
      <c r="B7" s="44">
        <f>EXP(-A7/0.25)</f>
        <v>1</v>
      </c>
    </row>
    <row r="8" spans="1:2">
      <c r="A8" s="39">
        <f>A7+0.05</f>
        <v>0.05</v>
      </c>
      <c r="B8" s="44">
        <f t="shared" ref="B8:B71" si="0">EXP(-A8/0.25)</f>
        <v>0.81873075307798182</v>
      </c>
    </row>
    <row r="9" spans="1:2">
      <c r="A9" s="39">
        <f t="shared" ref="A9:A27" si="1">A8+0.05</f>
        <v>0.1</v>
      </c>
      <c r="B9" s="44">
        <f t="shared" si="0"/>
        <v>0.67032004603563933</v>
      </c>
    </row>
    <row r="10" spans="1:2">
      <c r="A10" s="39">
        <f t="shared" si="1"/>
        <v>0.15000000000000002</v>
      </c>
      <c r="B10" s="44">
        <f t="shared" si="0"/>
        <v>0.54881163609402639</v>
      </c>
    </row>
    <row r="11" spans="1:2">
      <c r="A11" s="39">
        <f t="shared" si="1"/>
        <v>0.2</v>
      </c>
      <c r="B11" s="44">
        <f t="shared" si="0"/>
        <v>0.44932896411722156</v>
      </c>
    </row>
    <row r="12" spans="1:2">
      <c r="A12" s="39">
        <f t="shared" si="1"/>
        <v>0.25</v>
      </c>
      <c r="B12" s="44">
        <f t="shared" si="0"/>
        <v>0.36787944117144233</v>
      </c>
    </row>
    <row r="13" spans="1:2">
      <c r="A13" s="39">
        <f t="shared" si="1"/>
        <v>0.3</v>
      </c>
      <c r="B13" s="44">
        <f t="shared" si="0"/>
        <v>0.30119421191220214</v>
      </c>
    </row>
    <row r="14" spans="1:2">
      <c r="A14" s="39">
        <f t="shared" si="1"/>
        <v>0.35</v>
      </c>
      <c r="B14" s="44">
        <f t="shared" si="0"/>
        <v>0.24659696394160649</v>
      </c>
    </row>
    <row r="15" spans="1:2">
      <c r="A15" s="39">
        <f t="shared" si="1"/>
        <v>0.39999999999999997</v>
      </c>
      <c r="B15" s="44">
        <f t="shared" si="0"/>
        <v>0.20189651799465544</v>
      </c>
    </row>
    <row r="16" spans="1:2">
      <c r="A16" s="39">
        <f t="shared" si="1"/>
        <v>0.44999999999999996</v>
      </c>
      <c r="B16" s="44">
        <f t="shared" si="0"/>
        <v>0.16529888822158656</v>
      </c>
    </row>
    <row r="17" spans="1:2">
      <c r="A17" s="39">
        <f t="shared" si="1"/>
        <v>0.49999999999999994</v>
      </c>
      <c r="B17" s="44">
        <f t="shared" si="0"/>
        <v>0.13533528323661273</v>
      </c>
    </row>
    <row r="18" spans="1:2">
      <c r="A18" s="39">
        <f t="shared" si="1"/>
        <v>0.54999999999999993</v>
      </c>
      <c r="B18" s="44">
        <f t="shared" si="0"/>
        <v>0.11080315836233391</v>
      </c>
    </row>
    <row r="19" spans="1:2">
      <c r="A19" s="39">
        <f t="shared" si="1"/>
        <v>0.6</v>
      </c>
      <c r="B19" s="44">
        <f t="shared" si="0"/>
        <v>9.0717953289412512E-2</v>
      </c>
    </row>
    <row r="20" spans="1:2">
      <c r="A20" s="39">
        <f t="shared" si="1"/>
        <v>0.65</v>
      </c>
      <c r="B20" s="44">
        <f t="shared" si="0"/>
        <v>7.4273578214333877E-2</v>
      </c>
    </row>
    <row r="21" spans="1:2">
      <c r="A21" s="39">
        <f t="shared" si="1"/>
        <v>0.70000000000000007</v>
      </c>
      <c r="B21" s="44">
        <f t="shared" si="0"/>
        <v>6.0810062625217952E-2</v>
      </c>
    </row>
    <row r="22" spans="1:2">
      <c r="A22" s="39">
        <f t="shared" si="1"/>
        <v>0.75000000000000011</v>
      </c>
      <c r="B22" s="44">
        <f t="shared" si="0"/>
        <v>4.9787068367863924E-2</v>
      </c>
    </row>
    <row r="23" spans="1:2">
      <c r="A23" s="39">
        <f t="shared" si="1"/>
        <v>0.80000000000000016</v>
      </c>
      <c r="B23" s="44">
        <f t="shared" si="0"/>
        <v>4.076220397836619E-2</v>
      </c>
    </row>
    <row r="24" spans="1:2">
      <c r="A24" s="39">
        <f t="shared" si="1"/>
        <v>0.8500000000000002</v>
      </c>
      <c r="B24" s="44">
        <f t="shared" si="0"/>
        <v>3.3373269960326052E-2</v>
      </c>
    </row>
    <row r="25" spans="1:2">
      <c r="A25" s="39">
        <f t="shared" si="1"/>
        <v>0.90000000000000024</v>
      </c>
      <c r="B25" s="44">
        <f t="shared" si="0"/>
        <v>2.7323722447292535E-2</v>
      </c>
    </row>
    <row r="26" spans="1:2">
      <c r="A26" s="39">
        <f t="shared" si="1"/>
        <v>0.95000000000000029</v>
      </c>
      <c r="B26" s="44">
        <f t="shared" si="0"/>
        <v>2.237077185616557E-2</v>
      </c>
    </row>
    <row r="27" spans="1:2">
      <c r="A27" s="39">
        <f t="shared" si="1"/>
        <v>1.0000000000000002</v>
      </c>
      <c r="B27" s="44">
        <f t="shared" si="0"/>
        <v>1.8315638888734165E-2</v>
      </c>
    </row>
    <row r="28" spans="1:2">
      <c r="A28" s="39">
        <f t="shared" ref="A28:A47" si="2">A27+0.1</f>
        <v>1.1000000000000003</v>
      </c>
      <c r="B28" s="44">
        <f t="shared" si="0"/>
        <v>1.2277339903068426E-2</v>
      </c>
    </row>
    <row r="29" spans="1:2">
      <c r="A29" s="39">
        <f t="shared" si="2"/>
        <v>1.2000000000000004</v>
      </c>
      <c r="B29" s="44">
        <f t="shared" si="0"/>
        <v>8.2297470490200163E-3</v>
      </c>
    </row>
    <row r="30" spans="1:2">
      <c r="A30" s="39">
        <f t="shared" si="2"/>
        <v>1.3000000000000005</v>
      </c>
      <c r="B30" s="44">
        <f t="shared" si="0"/>
        <v>5.516564420760762E-3</v>
      </c>
    </row>
    <row r="31" spans="1:2">
      <c r="A31" s="39">
        <f t="shared" si="2"/>
        <v>1.4000000000000006</v>
      </c>
      <c r="B31" s="44">
        <f t="shared" si="0"/>
        <v>3.6978637164829225E-3</v>
      </c>
    </row>
    <row r="32" spans="1:2">
      <c r="A32" s="39">
        <f t="shared" si="2"/>
        <v>1.5000000000000007</v>
      </c>
      <c r="B32" s="44">
        <f t="shared" si="0"/>
        <v>2.478752176666352E-3</v>
      </c>
    </row>
    <row r="33" spans="1:2">
      <c r="A33" s="39">
        <f t="shared" si="2"/>
        <v>1.6000000000000008</v>
      </c>
      <c r="B33" s="44">
        <f t="shared" si="0"/>
        <v>1.6615572731739296E-3</v>
      </c>
    </row>
    <row r="34" spans="1:2">
      <c r="A34" s="39">
        <f t="shared" si="2"/>
        <v>1.7000000000000008</v>
      </c>
      <c r="B34" s="44">
        <f t="shared" si="0"/>
        <v>1.1137751478447993E-3</v>
      </c>
    </row>
    <row r="35" spans="1:2">
      <c r="A35" s="39">
        <f t="shared" si="2"/>
        <v>1.8000000000000009</v>
      </c>
      <c r="B35" s="44">
        <f t="shared" si="0"/>
        <v>7.465858083766766E-4</v>
      </c>
    </row>
    <row r="36" spans="1:2">
      <c r="A36" s="39">
        <f t="shared" si="2"/>
        <v>1.900000000000001</v>
      </c>
      <c r="B36" s="44">
        <f t="shared" si="0"/>
        <v>5.0045143344060866E-4</v>
      </c>
    </row>
    <row r="37" spans="1:2">
      <c r="A37" s="39">
        <f t="shared" si="2"/>
        <v>2.0000000000000009</v>
      </c>
      <c r="B37" s="44">
        <f t="shared" si="0"/>
        <v>3.3546262790251066E-4</v>
      </c>
    </row>
    <row r="38" spans="1:2">
      <c r="A38" s="39">
        <f t="shared" si="2"/>
        <v>2.100000000000001</v>
      </c>
      <c r="B38" s="44">
        <f t="shared" si="0"/>
        <v>2.2486732417884738E-4</v>
      </c>
    </row>
    <row r="39" spans="1:2">
      <c r="A39" s="39">
        <f t="shared" si="2"/>
        <v>2.2000000000000011</v>
      </c>
      <c r="B39" s="44">
        <f t="shared" si="0"/>
        <v>1.5073307509547596E-4</v>
      </c>
    </row>
    <row r="40" spans="1:2">
      <c r="A40" s="39">
        <f t="shared" si="2"/>
        <v>2.3000000000000012</v>
      </c>
      <c r="B40" s="44">
        <f t="shared" si="0"/>
        <v>1.0103940183709289E-4</v>
      </c>
    </row>
    <row r="41" spans="1:2">
      <c r="A41" s="39">
        <f t="shared" si="2"/>
        <v>2.4000000000000012</v>
      </c>
      <c r="B41" s="44">
        <f t="shared" si="0"/>
        <v>6.7728736490853532E-5</v>
      </c>
    </row>
    <row r="42" spans="1:2">
      <c r="A42" s="39">
        <f t="shared" si="2"/>
        <v>2.5000000000000013</v>
      </c>
      <c r="B42" s="44">
        <f t="shared" si="0"/>
        <v>4.539992976248461E-5</v>
      </c>
    </row>
    <row r="43" spans="1:2">
      <c r="A43" s="39">
        <f t="shared" si="2"/>
        <v>2.6000000000000014</v>
      </c>
      <c r="B43" s="44">
        <f t="shared" si="0"/>
        <v>3.0432483008403462E-5</v>
      </c>
    </row>
    <row r="44" spans="1:2">
      <c r="A44" s="39">
        <f t="shared" si="2"/>
        <v>2.7000000000000015</v>
      </c>
      <c r="B44" s="44">
        <f t="shared" si="0"/>
        <v>2.0399503411171814E-5</v>
      </c>
    </row>
    <row r="45" spans="1:2">
      <c r="A45" s="39">
        <f t="shared" si="2"/>
        <v>2.8000000000000016</v>
      </c>
      <c r="B45" s="44">
        <f t="shared" si="0"/>
        <v>1.3674196065680865E-5</v>
      </c>
    </row>
    <row r="46" spans="1:2">
      <c r="A46" s="39">
        <f t="shared" si="2"/>
        <v>2.9000000000000017</v>
      </c>
      <c r="B46" s="44">
        <f t="shared" si="0"/>
        <v>9.1660877362475528E-6</v>
      </c>
    </row>
    <row r="47" spans="1:2">
      <c r="A47" s="39">
        <f t="shared" si="2"/>
        <v>3.0000000000000018</v>
      </c>
      <c r="B47" s="44">
        <f t="shared" si="0"/>
        <v>6.1442123533281658E-6</v>
      </c>
    </row>
    <row r="48" spans="1:2">
      <c r="A48" s="39">
        <f t="shared" ref="A48:A57" si="3">A47+0.2</f>
        <v>3.200000000000002</v>
      </c>
      <c r="B48" s="44">
        <f t="shared" si="0"/>
        <v>2.7607725720371792E-6</v>
      </c>
    </row>
    <row r="49" spans="1:2">
      <c r="A49" s="39">
        <f t="shared" si="3"/>
        <v>3.4000000000000021</v>
      </c>
      <c r="B49" s="44">
        <f t="shared" si="0"/>
        <v>1.2404950799567024E-6</v>
      </c>
    </row>
    <row r="50" spans="1:2">
      <c r="A50" s="39">
        <f t="shared" si="3"/>
        <v>3.6000000000000023</v>
      </c>
      <c r="B50" s="44">
        <f t="shared" si="0"/>
        <v>5.5739036926945469E-7</v>
      </c>
    </row>
    <row r="51" spans="1:2">
      <c r="A51" s="39">
        <f t="shared" si="3"/>
        <v>3.8000000000000025</v>
      </c>
      <c r="B51" s="44">
        <f t="shared" si="0"/>
        <v>2.504516372327595E-7</v>
      </c>
    </row>
    <row r="52" spans="1:2">
      <c r="A52" s="39">
        <f t="shared" si="3"/>
        <v>4.0000000000000027</v>
      </c>
      <c r="B52" s="44">
        <f t="shared" si="0"/>
        <v>1.1253517471925791E-7</v>
      </c>
    </row>
    <row r="53" spans="1:2">
      <c r="A53" s="39">
        <f t="shared" si="3"/>
        <v>4.2000000000000028</v>
      </c>
      <c r="B53" s="44">
        <f t="shared" si="0"/>
        <v>5.0565313483354667E-8</v>
      </c>
    </row>
    <row r="54" spans="1:2">
      <c r="A54" s="39">
        <f t="shared" si="3"/>
        <v>4.400000000000003</v>
      </c>
      <c r="B54" s="44">
        <f t="shared" si="0"/>
        <v>2.2720459927738314E-8</v>
      </c>
    </row>
    <row r="55" spans="1:2">
      <c r="A55" s="39">
        <f t="shared" si="3"/>
        <v>4.6000000000000032</v>
      </c>
      <c r="B55" s="44">
        <f t="shared" si="0"/>
        <v>1.0208960723597492E-8</v>
      </c>
    </row>
    <row r="56" spans="1:2">
      <c r="A56" s="39">
        <f t="shared" si="3"/>
        <v>4.8000000000000034</v>
      </c>
      <c r="B56" s="44">
        <f t="shared" si="0"/>
        <v>4.5871817466474593E-9</v>
      </c>
    </row>
    <row r="57" spans="1:2">
      <c r="A57" s="39">
        <f t="shared" si="3"/>
        <v>5.0000000000000036</v>
      </c>
      <c r="B57" s="44">
        <f t="shared" si="0"/>
        <v>2.0611536224385285E-9</v>
      </c>
    </row>
    <row r="58" spans="1:2">
      <c r="A58" s="39">
        <f>A57+0.5</f>
        <v>5.5000000000000036</v>
      </c>
      <c r="B58" s="44">
        <f t="shared" si="0"/>
        <v>2.7894680928688853E-10</v>
      </c>
    </row>
    <row r="59" spans="1:2">
      <c r="A59" s="39">
        <f>A58+0.5</f>
        <v>6.0000000000000036</v>
      </c>
      <c r="B59" s="44">
        <f t="shared" si="0"/>
        <v>3.7751345442790441E-11</v>
      </c>
    </row>
    <row r="60" spans="1:2">
      <c r="A60" s="39">
        <f>A59+0.5</f>
        <v>6.5000000000000036</v>
      </c>
      <c r="B60" s="44">
        <f t="shared" si="0"/>
        <v>5.1090890280632524E-12</v>
      </c>
    </row>
    <row r="61" spans="1:2">
      <c r="A61" s="39">
        <f t="shared" ref="A61:A69" si="4">A60+0.5</f>
        <v>7.0000000000000036</v>
      </c>
      <c r="B61" s="44">
        <f t="shared" si="0"/>
        <v>6.9144001069401051E-13</v>
      </c>
    </row>
    <row r="62" spans="1:2">
      <c r="A62" s="39">
        <f t="shared" si="4"/>
        <v>7.5000000000000036</v>
      </c>
      <c r="B62" s="44">
        <f t="shared" si="0"/>
        <v>9.357622968840041E-14</v>
      </c>
    </row>
    <row r="63" spans="1:2">
      <c r="A63" s="39">
        <f t="shared" si="4"/>
        <v>8.0000000000000036</v>
      </c>
      <c r="B63" s="44">
        <f t="shared" si="0"/>
        <v>1.2664165549093996E-14</v>
      </c>
    </row>
    <row r="64" spans="1:2">
      <c r="A64" s="39">
        <f t="shared" si="4"/>
        <v>8.5000000000000036</v>
      </c>
      <c r="B64" s="44">
        <f t="shared" si="0"/>
        <v>1.7139084315419885E-15</v>
      </c>
    </row>
    <row r="65" spans="1:2">
      <c r="A65" s="39">
        <f t="shared" si="4"/>
        <v>9.0000000000000036</v>
      </c>
      <c r="B65" s="44">
        <f t="shared" si="0"/>
        <v>2.3195228302435366E-16</v>
      </c>
    </row>
    <row r="66" spans="1:2">
      <c r="A66" s="39">
        <f t="shared" si="4"/>
        <v>9.5000000000000036</v>
      </c>
      <c r="B66" s="44">
        <f t="shared" si="0"/>
        <v>3.1391327920479852E-17</v>
      </c>
    </row>
    <row r="67" spans="1:2">
      <c r="A67" s="39">
        <f t="shared" si="4"/>
        <v>10.000000000000004</v>
      </c>
      <c r="B67" s="44">
        <f t="shared" si="0"/>
        <v>4.2483542552915288E-18</v>
      </c>
    </row>
    <row r="68" spans="1:2">
      <c r="A68" s="39">
        <f t="shared" si="4"/>
        <v>10.500000000000004</v>
      </c>
      <c r="B68" s="44">
        <f t="shared" si="0"/>
        <v>5.749522264293478E-19</v>
      </c>
    </row>
    <row r="69" spans="1:2">
      <c r="A69" s="39">
        <f t="shared" si="4"/>
        <v>11.000000000000004</v>
      </c>
      <c r="B69" s="44">
        <f t="shared" si="0"/>
        <v>7.7811322411336859E-20</v>
      </c>
    </row>
    <row r="70" spans="1:2">
      <c r="A70" s="39">
        <f t="shared" ref="A70:A78" si="5">A69+0.5</f>
        <v>11.500000000000004</v>
      </c>
      <c r="B70" s="44">
        <f t="shared" si="0"/>
        <v>1.0530617357553663E-20</v>
      </c>
    </row>
    <row r="71" spans="1:2">
      <c r="A71" s="39">
        <f t="shared" si="5"/>
        <v>12.000000000000004</v>
      </c>
      <c r="B71" s="44">
        <f t="shared" si="0"/>
        <v>1.4251640827409148E-21</v>
      </c>
    </row>
    <row r="72" spans="1:2">
      <c r="A72" s="39">
        <f t="shared" si="5"/>
        <v>12.500000000000004</v>
      </c>
      <c r="B72" s="44">
        <f t="shared" ref="B72:B79" si="6">EXP(-A72/0.25)</f>
        <v>1.9287498479638903E-22</v>
      </c>
    </row>
    <row r="73" spans="1:2">
      <c r="A73" s="39">
        <f t="shared" si="5"/>
        <v>13.000000000000004</v>
      </c>
      <c r="B73" s="44">
        <f t="shared" si="6"/>
        <v>2.6102790696676677E-23</v>
      </c>
    </row>
    <row r="74" spans="1:2">
      <c r="A74" s="39">
        <f t="shared" si="5"/>
        <v>13.500000000000004</v>
      </c>
      <c r="B74" s="44">
        <f t="shared" si="6"/>
        <v>3.5326285722007572E-24</v>
      </c>
    </row>
    <row r="75" spans="1:2">
      <c r="A75" s="39">
        <f t="shared" si="5"/>
        <v>14.000000000000004</v>
      </c>
      <c r="B75" s="44">
        <f t="shared" si="6"/>
        <v>4.7808928838854009E-25</v>
      </c>
    </row>
    <row r="76" spans="1:2">
      <c r="A76" s="39">
        <f t="shared" si="5"/>
        <v>14.500000000000004</v>
      </c>
      <c r="B76" s="44">
        <f t="shared" si="6"/>
        <v>6.470234925645368E-26</v>
      </c>
    </row>
    <row r="77" spans="1:2">
      <c r="A77" s="39">
        <f t="shared" si="5"/>
        <v>15.000000000000004</v>
      </c>
      <c r="B77" s="44">
        <f t="shared" si="6"/>
        <v>8.7565107626963952E-27</v>
      </c>
    </row>
    <row r="78" spans="1:2">
      <c r="A78" s="39">
        <f t="shared" si="5"/>
        <v>15.500000000000004</v>
      </c>
      <c r="B78" s="44">
        <f t="shared" si="6"/>
        <v>1.1850648642339641E-27</v>
      </c>
    </row>
    <row r="79" spans="1:2">
      <c r="A79" s="39">
        <f>A78+0.5</f>
        <v>16.000000000000004</v>
      </c>
      <c r="B79" s="44">
        <f t="shared" si="6"/>
        <v>1.6038108905486151E-28</v>
      </c>
    </row>
    <row r="80" spans="1:2" s="37" customFormat="1">
      <c r="A80" s="43"/>
    </row>
    <row r="81" spans="1:10">
      <c r="A81" s="42" t="s">
        <v>74</v>
      </c>
    </row>
    <row r="82" spans="1:10">
      <c r="A82" s="38"/>
    </row>
    <row r="83" spans="1:10">
      <c r="A83" s="38"/>
      <c r="C83" s="48" t="s">
        <v>79</v>
      </c>
      <c r="D83" s="47"/>
    </row>
    <row r="84" spans="1:10" ht="48.75" customHeight="1">
      <c r="A84" s="45" t="s">
        <v>77</v>
      </c>
      <c r="B84" s="45" t="s">
        <v>75</v>
      </c>
      <c r="C84" s="45" t="s">
        <v>76</v>
      </c>
      <c r="D84" s="45" t="s">
        <v>78</v>
      </c>
      <c r="E84" s="50" t="s">
        <v>80</v>
      </c>
      <c r="I84" s="72" t="s">
        <v>20</v>
      </c>
      <c r="J84" s="45" t="s">
        <v>21</v>
      </c>
    </row>
    <row r="85" spans="1:10">
      <c r="A85">
        <v>1</v>
      </c>
      <c r="B85">
        <v>0.6331251728217665</v>
      </c>
      <c r="C85">
        <f>B85</f>
        <v>0.6331251728217665</v>
      </c>
      <c r="D85">
        <f xml:space="preserve"> ROUNDUP(C85,0)</f>
        <v>1</v>
      </c>
      <c r="E85" s="86">
        <v>3</v>
      </c>
      <c r="I85">
        <f>ROUND(C85,3)</f>
        <v>0.63300000000000001</v>
      </c>
      <c r="J85" s="57">
        <f>I85</f>
        <v>0.63300000000000001</v>
      </c>
    </row>
    <row r="86" spans="1:10">
      <c r="A86">
        <v>2</v>
      </c>
      <c r="B86">
        <v>8.0247064961824294E-2</v>
      </c>
      <c r="C86">
        <f>B86+C85</f>
        <v>0.71337223778359082</v>
      </c>
      <c r="D86">
        <f t="shared" ref="D86:D149" si="7" xml:space="preserve"> ROUNDUP(C86,0)</f>
        <v>1</v>
      </c>
      <c r="E86" s="87"/>
      <c r="I86">
        <f t="shared" ref="I86:I149" si="8">ROUND(C86,3)</f>
        <v>0.71299999999999997</v>
      </c>
      <c r="J86" s="57">
        <f>I86-I85</f>
        <v>7.999999999999996E-2</v>
      </c>
    </row>
    <row r="87" spans="1:10">
      <c r="A87">
        <v>3</v>
      </c>
      <c r="B87">
        <v>0.18914315001188278</v>
      </c>
      <c r="C87">
        <f t="shared" ref="C87:C150" si="9">B87+C86</f>
        <v>0.90251538779547358</v>
      </c>
      <c r="D87">
        <f t="shared" si="7"/>
        <v>1</v>
      </c>
      <c r="E87" s="88"/>
      <c r="I87">
        <f t="shared" si="8"/>
        <v>0.90300000000000002</v>
      </c>
      <c r="J87" s="57">
        <f t="shared" ref="J87:J150" si="10">I87-I86</f>
        <v>0.19000000000000006</v>
      </c>
    </row>
    <row r="88" spans="1:10">
      <c r="A88">
        <v>4</v>
      </c>
      <c r="B88">
        <v>0.13076071969752212</v>
      </c>
      <c r="C88">
        <f t="shared" si="9"/>
        <v>1.0332761074929957</v>
      </c>
      <c r="D88">
        <f t="shared" si="7"/>
        <v>2</v>
      </c>
      <c r="E88" s="86">
        <v>3</v>
      </c>
      <c r="I88">
        <f t="shared" si="8"/>
        <v>1.0329999999999999</v>
      </c>
      <c r="J88" s="57">
        <f t="shared" si="10"/>
        <v>0.12999999999999989</v>
      </c>
    </row>
    <row r="89" spans="1:10">
      <c r="A89">
        <v>5</v>
      </c>
      <c r="B89">
        <v>0.39143662356667475</v>
      </c>
      <c r="C89">
        <f t="shared" si="9"/>
        <v>1.4247127310596706</v>
      </c>
      <c r="D89">
        <f t="shared" si="7"/>
        <v>2</v>
      </c>
      <c r="E89" s="87"/>
      <c r="I89">
        <f t="shared" si="8"/>
        <v>1.425</v>
      </c>
      <c r="J89" s="57">
        <f t="shared" si="10"/>
        <v>0.39200000000000013</v>
      </c>
    </row>
    <row r="90" spans="1:10">
      <c r="A90">
        <v>6</v>
      </c>
      <c r="B90">
        <v>7.7884549875850376E-2</v>
      </c>
      <c r="C90">
        <f t="shared" si="9"/>
        <v>1.502597280935521</v>
      </c>
      <c r="D90">
        <f t="shared" si="7"/>
        <v>2</v>
      </c>
      <c r="E90" s="88"/>
      <c r="I90">
        <f t="shared" si="8"/>
        <v>1.5029999999999999</v>
      </c>
      <c r="J90" s="57">
        <f t="shared" si="10"/>
        <v>7.7999999999999847E-2</v>
      </c>
    </row>
    <row r="91" spans="1:10">
      <c r="A91">
        <v>7</v>
      </c>
      <c r="B91">
        <v>0.56731714765689001</v>
      </c>
      <c r="C91">
        <f t="shared" si="9"/>
        <v>2.0699144285924111</v>
      </c>
      <c r="D91">
        <f t="shared" si="7"/>
        <v>3</v>
      </c>
      <c r="E91" s="86">
        <v>3</v>
      </c>
      <c r="I91">
        <f t="shared" si="8"/>
        <v>2.0699999999999998</v>
      </c>
      <c r="J91" s="57">
        <f t="shared" si="10"/>
        <v>0.56699999999999995</v>
      </c>
    </row>
    <row r="92" spans="1:10">
      <c r="A92">
        <v>8</v>
      </c>
      <c r="B92">
        <v>0.18963996191415258</v>
      </c>
      <c r="C92">
        <f t="shared" si="9"/>
        <v>2.2595543905065636</v>
      </c>
      <c r="D92">
        <f t="shared" si="7"/>
        <v>3</v>
      </c>
      <c r="E92" s="87"/>
      <c r="I92">
        <f t="shared" si="8"/>
        <v>2.2599999999999998</v>
      </c>
      <c r="J92" s="57">
        <f t="shared" si="10"/>
        <v>0.18999999999999995</v>
      </c>
    </row>
    <row r="93" spans="1:10">
      <c r="A93">
        <v>9</v>
      </c>
      <c r="B93">
        <v>0.35596280280464482</v>
      </c>
      <c r="C93">
        <f t="shared" si="9"/>
        <v>2.6155171933112085</v>
      </c>
      <c r="D93">
        <f t="shared" si="7"/>
        <v>3</v>
      </c>
      <c r="E93" s="88"/>
      <c r="I93">
        <f t="shared" si="8"/>
        <v>2.6160000000000001</v>
      </c>
      <c r="J93" s="57">
        <f t="shared" si="10"/>
        <v>0.35600000000000032</v>
      </c>
    </row>
    <row r="94" spans="1:10">
      <c r="A94">
        <v>10</v>
      </c>
      <c r="B94">
        <v>0.56530327006668912</v>
      </c>
      <c r="C94">
        <f t="shared" si="9"/>
        <v>3.1808204633778976</v>
      </c>
      <c r="D94">
        <f t="shared" si="7"/>
        <v>4</v>
      </c>
      <c r="E94" s="86">
        <v>2</v>
      </c>
      <c r="I94">
        <f t="shared" si="8"/>
        <v>3.181</v>
      </c>
      <c r="J94" s="57">
        <f t="shared" si="10"/>
        <v>0.56499999999999995</v>
      </c>
    </row>
    <row r="95" spans="1:10">
      <c r="A95">
        <v>11</v>
      </c>
      <c r="B95">
        <v>0.2165472025256473</v>
      </c>
      <c r="C95">
        <f t="shared" si="9"/>
        <v>3.3973676659035448</v>
      </c>
      <c r="D95">
        <f t="shared" si="7"/>
        <v>4</v>
      </c>
      <c r="E95" s="88"/>
      <c r="I95">
        <f t="shared" si="8"/>
        <v>3.3969999999999998</v>
      </c>
      <c r="J95" s="57">
        <f t="shared" si="10"/>
        <v>0.21599999999999975</v>
      </c>
    </row>
    <row r="96" spans="1:10">
      <c r="A96">
        <v>12</v>
      </c>
      <c r="B96">
        <v>0.93300593642914731</v>
      </c>
      <c r="C96">
        <f t="shared" si="9"/>
        <v>4.330373602332692</v>
      </c>
      <c r="D96">
        <f t="shared" si="7"/>
        <v>5</v>
      </c>
      <c r="E96" s="86">
        <v>2</v>
      </c>
      <c r="I96">
        <f t="shared" si="8"/>
        <v>4.33</v>
      </c>
      <c r="J96" s="57">
        <f t="shared" si="10"/>
        <v>0.93300000000000027</v>
      </c>
    </row>
    <row r="97" spans="1:10">
      <c r="A97">
        <v>13</v>
      </c>
      <c r="B97">
        <v>0.4882538428937237</v>
      </c>
      <c r="C97">
        <f t="shared" si="9"/>
        <v>4.818627445226416</v>
      </c>
      <c r="D97">
        <f t="shared" si="7"/>
        <v>5</v>
      </c>
      <c r="E97" s="88"/>
      <c r="I97">
        <f t="shared" si="8"/>
        <v>4.819</v>
      </c>
      <c r="J97" s="57">
        <f t="shared" si="10"/>
        <v>0.48899999999999988</v>
      </c>
    </row>
    <row r="98" spans="1:10">
      <c r="A98">
        <v>14</v>
      </c>
      <c r="B98">
        <v>0.45764545433150794</v>
      </c>
      <c r="C98">
        <f t="shared" si="9"/>
        <v>5.2762728995579238</v>
      </c>
      <c r="D98">
        <f t="shared" si="7"/>
        <v>6</v>
      </c>
      <c r="E98" s="86">
        <v>5</v>
      </c>
      <c r="I98">
        <f t="shared" si="8"/>
        <v>5.2759999999999998</v>
      </c>
      <c r="J98" s="57">
        <f t="shared" si="10"/>
        <v>0.45699999999999985</v>
      </c>
    </row>
    <row r="99" spans="1:10">
      <c r="A99">
        <v>15</v>
      </c>
      <c r="B99">
        <v>5.8286639643659148E-2</v>
      </c>
      <c r="C99">
        <f t="shared" si="9"/>
        <v>5.3345595392015825</v>
      </c>
      <c r="D99">
        <f t="shared" si="7"/>
        <v>6</v>
      </c>
      <c r="E99" s="87"/>
      <c r="I99">
        <f t="shared" si="8"/>
        <v>5.335</v>
      </c>
      <c r="J99" s="57">
        <f t="shared" si="10"/>
        <v>5.9000000000000163E-2</v>
      </c>
    </row>
    <row r="100" spans="1:10">
      <c r="A100">
        <v>16</v>
      </c>
      <c r="B100">
        <v>5.7053210050701721E-2</v>
      </c>
      <c r="C100">
        <f t="shared" si="9"/>
        <v>5.3916127492522845</v>
      </c>
      <c r="D100">
        <f t="shared" si="7"/>
        <v>6</v>
      </c>
      <c r="E100" s="87"/>
      <c r="I100">
        <f t="shared" si="8"/>
        <v>5.3920000000000003</v>
      </c>
      <c r="J100" s="57">
        <f t="shared" si="10"/>
        <v>5.7000000000000384E-2</v>
      </c>
    </row>
    <row r="101" spans="1:10">
      <c r="A101">
        <v>17</v>
      </c>
      <c r="B101">
        <v>0.21321160773387116</v>
      </c>
      <c r="C101">
        <f t="shared" si="9"/>
        <v>5.604824356986156</v>
      </c>
      <c r="D101">
        <f t="shared" si="7"/>
        <v>6</v>
      </c>
      <c r="E101" s="87"/>
      <c r="I101">
        <f t="shared" si="8"/>
        <v>5.6050000000000004</v>
      </c>
      <c r="J101" s="57">
        <f t="shared" si="10"/>
        <v>0.21300000000000008</v>
      </c>
    </row>
    <row r="102" spans="1:10">
      <c r="A102">
        <v>18</v>
      </c>
      <c r="B102">
        <v>0.19417790928066284</v>
      </c>
      <c r="C102">
        <f t="shared" si="9"/>
        <v>5.799002266266819</v>
      </c>
      <c r="D102">
        <f t="shared" si="7"/>
        <v>6</v>
      </c>
      <c r="E102" s="88"/>
      <c r="I102">
        <f t="shared" si="8"/>
        <v>5.7990000000000004</v>
      </c>
      <c r="J102" s="57">
        <f t="shared" si="10"/>
        <v>0.19399999999999995</v>
      </c>
    </row>
    <row r="103" spans="1:10">
      <c r="A103">
        <v>19</v>
      </c>
      <c r="B103">
        <v>0.4111421067155912</v>
      </c>
      <c r="C103">
        <f t="shared" si="9"/>
        <v>6.21014437298241</v>
      </c>
      <c r="D103">
        <f t="shared" si="7"/>
        <v>7</v>
      </c>
      <c r="E103" s="86">
        <v>4</v>
      </c>
      <c r="I103">
        <f t="shared" si="8"/>
        <v>6.21</v>
      </c>
      <c r="J103" s="57">
        <f t="shared" si="10"/>
        <v>0.41099999999999959</v>
      </c>
    </row>
    <row r="104" spans="1:10">
      <c r="A104">
        <v>20</v>
      </c>
      <c r="B104">
        <v>0.22677055200007876</v>
      </c>
      <c r="C104">
        <f t="shared" si="9"/>
        <v>6.4369149249824886</v>
      </c>
      <c r="D104">
        <f t="shared" si="7"/>
        <v>7</v>
      </c>
      <c r="E104" s="87"/>
      <c r="I104">
        <f t="shared" si="8"/>
        <v>6.4370000000000003</v>
      </c>
      <c r="J104" s="57">
        <f t="shared" si="10"/>
        <v>0.22700000000000031</v>
      </c>
    </row>
    <row r="105" spans="1:10">
      <c r="A105">
        <v>21</v>
      </c>
      <c r="B105">
        <v>0.31989348623438502</v>
      </c>
      <c r="C105">
        <f t="shared" si="9"/>
        <v>6.7568084112168734</v>
      </c>
      <c r="D105">
        <f t="shared" si="7"/>
        <v>7</v>
      </c>
      <c r="E105" s="87"/>
      <c r="I105">
        <f t="shared" si="8"/>
        <v>6.7569999999999997</v>
      </c>
      <c r="J105" s="57">
        <f t="shared" si="10"/>
        <v>0.3199999999999994</v>
      </c>
    </row>
    <row r="106" spans="1:10">
      <c r="A106">
        <v>22</v>
      </c>
      <c r="B106">
        <v>0.22145237897147158</v>
      </c>
      <c r="C106">
        <f t="shared" si="9"/>
        <v>6.9782607901883447</v>
      </c>
      <c r="D106">
        <f t="shared" si="7"/>
        <v>7</v>
      </c>
      <c r="E106" s="88"/>
      <c r="I106">
        <f t="shared" si="8"/>
        <v>6.9779999999999998</v>
      </c>
      <c r="J106" s="57">
        <f t="shared" si="10"/>
        <v>0.22100000000000009</v>
      </c>
    </row>
    <row r="107" spans="1:10">
      <c r="A107">
        <v>23</v>
      </c>
      <c r="B107">
        <v>0.3145123357679423</v>
      </c>
      <c r="C107">
        <f t="shared" si="9"/>
        <v>7.2927731259562867</v>
      </c>
      <c r="D107">
        <f t="shared" si="7"/>
        <v>8</v>
      </c>
      <c r="E107" s="86">
        <v>5</v>
      </c>
      <c r="I107">
        <f t="shared" si="8"/>
        <v>7.2930000000000001</v>
      </c>
      <c r="J107" s="57">
        <f t="shared" si="10"/>
        <v>0.31500000000000039</v>
      </c>
    </row>
    <row r="108" spans="1:10">
      <c r="A108">
        <v>24</v>
      </c>
      <c r="B108">
        <v>0.29022110759848802</v>
      </c>
      <c r="C108">
        <f t="shared" si="9"/>
        <v>7.5829942335547749</v>
      </c>
      <c r="D108">
        <f t="shared" si="7"/>
        <v>8</v>
      </c>
      <c r="E108" s="87"/>
      <c r="I108">
        <f t="shared" si="8"/>
        <v>7.5830000000000002</v>
      </c>
      <c r="J108" s="57">
        <f t="shared" si="10"/>
        <v>0.29000000000000004</v>
      </c>
    </row>
    <row r="109" spans="1:10">
      <c r="A109">
        <v>25</v>
      </c>
      <c r="B109">
        <v>3.978682383886032E-2</v>
      </c>
      <c r="C109">
        <f t="shared" si="9"/>
        <v>7.6227810573936354</v>
      </c>
      <c r="D109">
        <f t="shared" si="7"/>
        <v>8</v>
      </c>
      <c r="E109" s="87"/>
      <c r="I109">
        <f t="shared" si="8"/>
        <v>7.6230000000000002</v>
      </c>
      <c r="J109" s="57">
        <f t="shared" si="10"/>
        <v>4.0000000000000036E-2</v>
      </c>
    </row>
    <row r="110" spans="1:10">
      <c r="A110">
        <v>26</v>
      </c>
      <c r="B110">
        <v>0.25756724523979635</v>
      </c>
      <c r="C110">
        <f t="shared" si="9"/>
        <v>7.8803483026334318</v>
      </c>
      <c r="D110">
        <f t="shared" si="7"/>
        <v>8</v>
      </c>
      <c r="E110" s="87"/>
      <c r="I110">
        <f t="shared" si="8"/>
        <v>7.88</v>
      </c>
      <c r="J110" s="57">
        <f t="shared" si="10"/>
        <v>0.25699999999999967</v>
      </c>
    </row>
    <row r="111" spans="1:10">
      <c r="A111">
        <v>27</v>
      </c>
      <c r="B111">
        <v>8.3475856251203351E-2</v>
      </c>
      <c r="C111">
        <f t="shared" si="9"/>
        <v>7.963824158884635</v>
      </c>
      <c r="D111">
        <f t="shared" si="7"/>
        <v>8</v>
      </c>
      <c r="E111" s="88"/>
      <c r="I111">
        <f t="shared" si="8"/>
        <v>7.9640000000000004</v>
      </c>
      <c r="J111" s="57">
        <f t="shared" si="10"/>
        <v>8.4000000000000519E-2</v>
      </c>
    </row>
    <row r="112" spans="1:10">
      <c r="A112">
        <v>28</v>
      </c>
      <c r="B112">
        <v>0.10104785610483938</v>
      </c>
      <c r="C112">
        <f t="shared" si="9"/>
        <v>8.0648720149894739</v>
      </c>
      <c r="D112">
        <f t="shared" si="7"/>
        <v>9</v>
      </c>
      <c r="E112" s="86">
        <v>5</v>
      </c>
      <c r="I112">
        <f t="shared" si="8"/>
        <v>8.0649999999999995</v>
      </c>
      <c r="J112" s="57">
        <f t="shared" si="10"/>
        <v>0.10099999999999909</v>
      </c>
    </row>
    <row r="113" spans="1:10">
      <c r="A113">
        <v>29</v>
      </c>
      <c r="B113">
        <v>0.50659244904</v>
      </c>
      <c r="C113">
        <f t="shared" si="9"/>
        <v>8.5714644640294733</v>
      </c>
      <c r="D113">
        <f t="shared" si="7"/>
        <v>9</v>
      </c>
      <c r="E113" s="87"/>
      <c r="I113">
        <f t="shared" si="8"/>
        <v>8.5709999999999997</v>
      </c>
      <c r="J113" s="57">
        <f t="shared" si="10"/>
        <v>0.50600000000000023</v>
      </c>
    </row>
    <row r="114" spans="1:10">
      <c r="A114">
        <v>30</v>
      </c>
      <c r="B114">
        <v>4.8712280232181228E-3</v>
      </c>
      <c r="C114">
        <f t="shared" si="9"/>
        <v>8.576335692052691</v>
      </c>
      <c r="D114">
        <f t="shared" si="7"/>
        <v>9</v>
      </c>
      <c r="E114" s="87"/>
      <c r="I114">
        <f t="shared" si="8"/>
        <v>8.5760000000000005</v>
      </c>
      <c r="J114" s="57">
        <f t="shared" si="10"/>
        <v>5.0000000000007816E-3</v>
      </c>
    </row>
    <row r="115" spans="1:10">
      <c r="A115">
        <v>31</v>
      </c>
      <c r="B115">
        <v>0.16322762424126275</v>
      </c>
      <c r="C115">
        <f t="shared" si="9"/>
        <v>8.7395633162939532</v>
      </c>
      <c r="D115">
        <f t="shared" si="7"/>
        <v>9</v>
      </c>
      <c r="E115" s="87"/>
      <c r="I115">
        <f t="shared" si="8"/>
        <v>8.74</v>
      </c>
      <c r="J115" s="57">
        <f t="shared" si="10"/>
        <v>0.1639999999999997</v>
      </c>
    </row>
    <row r="116" spans="1:10">
      <c r="A116">
        <v>32</v>
      </c>
      <c r="B116">
        <v>0.23777480359666717</v>
      </c>
      <c r="C116">
        <f t="shared" si="9"/>
        <v>8.9773381198906197</v>
      </c>
      <c r="D116">
        <f t="shared" si="7"/>
        <v>9</v>
      </c>
      <c r="E116" s="88"/>
      <c r="I116">
        <f t="shared" si="8"/>
        <v>8.9770000000000003</v>
      </c>
      <c r="J116" s="57">
        <f t="shared" si="10"/>
        <v>0.2370000000000001</v>
      </c>
    </row>
    <row r="117" spans="1:10">
      <c r="A117">
        <v>33</v>
      </c>
      <c r="B117">
        <v>0.24433570340334756</v>
      </c>
      <c r="C117">
        <f t="shared" si="9"/>
        <v>9.2216738232939672</v>
      </c>
      <c r="D117">
        <f t="shared" si="7"/>
        <v>10</v>
      </c>
      <c r="E117" s="86">
        <v>4</v>
      </c>
      <c r="I117">
        <f t="shared" si="8"/>
        <v>9.2219999999999995</v>
      </c>
      <c r="J117" s="57">
        <f t="shared" si="10"/>
        <v>0.24499999999999922</v>
      </c>
    </row>
    <row r="118" spans="1:10">
      <c r="A118">
        <v>34</v>
      </c>
      <c r="B118">
        <v>0.47694635620557846</v>
      </c>
      <c r="C118">
        <f t="shared" si="9"/>
        <v>9.6986201794995459</v>
      </c>
      <c r="D118">
        <f t="shared" si="7"/>
        <v>10</v>
      </c>
      <c r="E118" s="87"/>
      <c r="I118">
        <f t="shared" si="8"/>
        <v>9.6989999999999998</v>
      </c>
      <c r="J118" s="57">
        <f t="shared" si="10"/>
        <v>0.47700000000000031</v>
      </c>
    </row>
    <row r="119" spans="1:10">
      <c r="A119">
        <v>35</v>
      </c>
      <c r="B119">
        <v>0.16426550088244113</v>
      </c>
      <c r="C119">
        <f t="shared" si="9"/>
        <v>9.8628856803819875</v>
      </c>
      <c r="D119">
        <f t="shared" si="7"/>
        <v>10</v>
      </c>
      <c r="E119" s="87"/>
      <c r="I119">
        <f t="shared" si="8"/>
        <v>9.8629999999999995</v>
      </c>
      <c r="J119" s="57">
        <f t="shared" si="10"/>
        <v>0.1639999999999997</v>
      </c>
    </row>
    <row r="120" spans="1:10">
      <c r="A120">
        <v>36</v>
      </c>
      <c r="B120">
        <v>0.11726812263692274</v>
      </c>
      <c r="C120">
        <f t="shared" si="9"/>
        <v>9.9801538030189096</v>
      </c>
      <c r="D120">
        <f t="shared" si="7"/>
        <v>10</v>
      </c>
      <c r="E120" s="88"/>
      <c r="I120">
        <f t="shared" si="8"/>
        <v>9.98</v>
      </c>
      <c r="J120" s="57">
        <f t="shared" si="10"/>
        <v>0.11700000000000088</v>
      </c>
    </row>
    <row r="121" spans="1:10">
      <c r="A121">
        <v>37</v>
      </c>
      <c r="B121">
        <v>0.16229364009311639</v>
      </c>
      <c r="C121">
        <f t="shared" si="9"/>
        <v>10.142447443112026</v>
      </c>
      <c r="D121">
        <f t="shared" si="7"/>
        <v>11</v>
      </c>
      <c r="E121" s="86">
        <v>4</v>
      </c>
      <c r="I121">
        <f t="shared" si="8"/>
        <v>10.141999999999999</v>
      </c>
      <c r="J121" s="57">
        <f t="shared" si="10"/>
        <v>0.16199999999999903</v>
      </c>
    </row>
    <row r="122" spans="1:10">
      <c r="A122">
        <v>38</v>
      </c>
      <c r="B122">
        <v>0.21368292273429715</v>
      </c>
      <c r="C122">
        <f t="shared" si="9"/>
        <v>10.356130365846322</v>
      </c>
      <c r="D122">
        <f t="shared" si="7"/>
        <v>11</v>
      </c>
      <c r="E122" s="87"/>
      <c r="I122">
        <f t="shared" si="8"/>
        <v>10.356</v>
      </c>
      <c r="J122" s="57">
        <f t="shared" si="10"/>
        <v>0.21400000000000041</v>
      </c>
    </row>
    <row r="123" spans="1:10">
      <c r="A123">
        <v>39</v>
      </c>
      <c r="B123">
        <v>0.26789885074367209</v>
      </c>
      <c r="C123">
        <f t="shared" si="9"/>
        <v>10.624029216589994</v>
      </c>
      <c r="D123">
        <f t="shared" si="7"/>
        <v>11</v>
      </c>
      <c r="E123" s="87"/>
      <c r="I123">
        <f t="shared" si="8"/>
        <v>10.624000000000001</v>
      </c>
      <c r="J123" s="57">
        <f t="shared" si="10"/>
        <v>0.26800000000000068</v>
      </c>
    </row>
    <row r="124" spans="1:10">
      <c r="A124">
        <v>40</v>
      </c>
      <c r="B124">
        <v>7.9318919446876981E-2</v>
      </c>
      <c r="C124">
        <f t="shared" si="9"/>
        <v>10.703348136036871</v>
      </c>
      <c r="D124">
        <f t="shared" si="7"/>
        <v>11</v>
      </c>
      <c r="E124" s="88"/>
      <c r="I124">
        <f t="shared" si="8"/>
        <v>10.702999999999999</v>
      </c>
      <c r="J124" s="57">
        <f t="shared" si="10"/>
        <v>7.8999999999998849E-2</v>
      </c>
    </row>
    <row r="125" spans="1:10">
      <c r="A125">
        <v>41</v>
      </c>
      <c r="B125">
        <v>0.3534300227143457</v>
      </c>
      <c r="C125">
        <f t="shared" si="9"/>
        <v>11.056778158751216</v>
      </c>
      <c r="D125">
        <f t="shared" si="7"/>
        <v>12</v>
      </c>
      <c r="E125" s="86">
        <v>3</v>
      </c>
      <c r="I125">
        <f t="shared" si="8"/>
        <v>11.057</v>
      </c>
      <c r="J125" s="57">
        <f t="shared" si="10"/>
        <v>0.35400000000000098</v>
      </c>
    </row>
    <row r="126" spans="1:10">
      <c r="A126">
        <v>42</v>
      </c>
      <c r="B126">
        <v>2.7083947577969066E-2</v>
      </c>
      <c r="C126">
        <f t="shared" si="9"/>
        <v>11.083862106329185</v>
      </c>
      <c r="D126">
        <f t="shared" si="7"/>
        <v>12</v>
      </c>
      <c r="E126" s="87"/>
      <c r="I126">
        <f t="shared" si="8"/>
        <v>11.084</v>
      </c>
      <c r="J126" s="57">
        <f t="shared" si="10"/>
        <v>2.6999999999999247E-2</v>
      </c>
    </row>
    <row r="127" spans="1:10">
      <c r="A127">
        <v>43</v>
      </c>
      <c r="B127">
        <v>0.34222114953590971</v>
      </c>
      <c r="C127">
        <f t="shared" si="9"/>
        <v>11.426083255865095</v>
      </c>
      <c r="D127">
        <f t="shared" si="7"/>
        <v>12</v>
      </c>
      <c r="E127" s="88"/>
      <c r="I127">
        <f t="shared" si="8"/>
        <v>11.426</v>
      </c>
      <c r="J127" s="57">
        <f t="shared" si="10"/>
        <v>0.34200000000000053</v>
      </c>
    </row>
    <row r="128" spans="1:10">
      <c r="A128">
        <v>44</v>
      </c>
      <c r="B128">
        <v>0.6836845284473132</v>
      </c>
      <c r="C128">
        <f t="shared" si="9"/>
        <v>12.109767784312409</v>
      </c>
      <c r="D128">
        <f t="shared" si="7"/>
        <v>13</v>
      </c>
      <c r="E128" s="86">
        <v>2</v>
      </c>
      <c r="I128">
        <f t="shared" si="8"/>
        <v>12.11</v>
      </c>
      <c r="J128" s="57">
        <f t="shared" si="10"/>
        <v>0.68399999999999928</v>
      </c>
    </row>
    <row r="129" spans="1:10">
      <c r="A129">
        <v>45</v>
      </c>
      <c r="B129">
        <v>0.43851600826663095</v>
      </c>
      <c r="C129">
        <f t="shared" si="9"/>
        <v>12.54828379257904</v>
      </c>
      <c r="D129">
        <f t="shared" si="7"/>
        <v>13</v>
      </c>
      <c r="E129" s="88"/>
      <c r="I129">
        <f t="shared" si="8"/>
        <v>12.548</v>
      </c>
      <c r="J129" s="57">
        <f t="shared" si="10"/>
        <v>0.43800000000000061</v>
      </c>
    </row>
    <row r="130" spans="1:10">
      <c r="A130">
        <v>46</v>
      </c>
      <c r="B130">
        <v>0.53083979647619217</v>
      </c>
      <c r="C130">
        <f t="shared" si="9"/>
        <v>13.079123589055232</v>
      </c>
      <c r="D130">
        <f t="shared" si="7"/>
        <v>14</v>
      </c>
      <c r="E130" s="86">
        <v>2</v>
      </c>
      <c r="I130">
        <f t="shared" si="8"/>
        <v>13.079000000000001</v>
      </c>
      <c r="J130" s="57">
        <f t="shared" si="10"/>
        <v>0.53100000000000058</v>
      </c>
    </row>
    <row r="131" spans="1:10">
      <c r="A131">
        <v>47</v>
      </c>
      <c r="B131">
        <v>0.36605301863757816</v>
      </c>
      <c r="C131">
        <f t="shared" si="9"/>
        <v>13.44517660769281</v>
      </c>
      <c r="D131">
        <f t="shared" si="7"/>
        <v>14</v>
      </c>
      <c r="E131" s="88"/>
      <c r="I131">
        <f t="shared" si="8"/>
        <v>13.445</v>
      </c>
      <c r="J131" s="57">
        <f t="shared" si="10"/>
        <v>0.36599999999999966</v>
      </c>
    </row>
    <row r="132" spans="1:10">
      <c r="A132">
        <v>48</v>
      </c>
      <c r="B132">
        <v>0.77885109002660957</v>
      </c>
      <c r="C132">
        <f t="shared" si="9"/>
        <v>14.22402769771942</v>
      </c>
      <c r="D132">
        <f t="shared" si="7"/>
        <v>15</v>
      </c>
      <c r="E132" s="86">
        <v>3</v>
      </c>
      <c r="I132">
        <f t="shared" si="8"/>
        <v>14.224</v>
      </c>
      <c r="J132" s="57">
        <f t="shared" si="10"/>
        <v>0.77899999999999991</v>
      </c>
    </row>
    <row r="133" spans="1:10">
      <c r="A133">
        <v>49</v>
      </c>
      <c r="B133">
        <v>0.32735729513699591</v>
      </c>
      <c r="C133">
        <f t="shared" si="9"/>
        <v>14.551384992856416</v>
      </c>
      <c r="D133">
        <f t="shared" si="7"/>
        <v>15</v>
      </c>
      <c r="E133" s="87"/>
      <c r="I133">
        <f t="shared" si="8"/>
        <v>14.551</v>
      </c>
      <c r="J133" s="57">
        <f t="shared" si="10"/>
        <v>0.32699999999999996</v>
      </c>
    </row>
    <row r="134" spans="1:10">
      <c r="A134">
        <v>50</v>
      </c>
      <c r="B134">
        <v>4.0638880308998544E-2</v>
      </c>
      <c r="C134">
        <f t="shared" si="9"/>
        <v>14.592023873165415</v>
      </c>
      <c r="D134">
        <f t="shared" si="7"/>
        <v>15</v>
      </c>
      <c r="E134" s="88"/>
      <c r="I134">
        <f t="shared" si="8"/>
        <v>14.592000000000001</v>
      </c>
      <c r="J134" s="57">
        <f t="shared" si="10"/>
        <v>4.1000000000000369E-2</v>
      </c>
    </row>
    <row r="135" spans="1:10">
      <c r="A135">
        <v>51</v>
      </c>
      <c r="B135">
        <v>0.43511487306308905</v>
      </c>
      <c r="C135">
        <f t="shared" si="9"/>
        <v>15.027138746228504</v>
      </c>
      <c r="D135">
        <f t="shared" si="7"/>
        <v>16</v>
      </c>
      <c r="E135" s="89">
        <v>2</v>
      </c>
      <c r="I135">
        <f t="shared" si="8"/>
        <v>15.026999999999999</v>
      </c>
      <c r="J135" s="57">
        <f t="shared" si="10"/>
        <v>0.43499999999999872</v>
      </c>
    </row>
    <row r="136" spans="1:10">
      <c r="A136">
        <v>52</v>
      </c>
      <c r="B136">
        <v>0.3274527337121162</v>
      </c>
      <c r="C136">
        <f t="shared" si="9"/>
        <v>15.35459147994062</v>
      </c>
      <c r="D136">
        <f t="shared" si="7"/>
        <v>16</v>
      </c>
      <c r="E136" s="90"/>
      <c r="I136">
        <f t="shared" si="8"/>
        <v>15.355</v>
      </c>
      <c r="J136" s="57">
        <f t="shared" si="10"/>
        <v>0.32800000000000118</v>
      </c>
    </row>
    <row r="137" spans="1:10">
      <c r="A137">
        <v>53</v>
      </c>
      <c r="B137">
        <v>0.73714937231052824</v>
      </c>
      <c r="C137">
        <f t="shared" si="9"/>
        <v>16.091740852251149</v>
      </c>
      <c r="D137">
        <f t="shared" si="7"/>
        <v>17</v>
      </c>
      <c r="E137" s="86">
        <v>8</v>
      </c>
      <c r="I137">
        <f t="shared" si="8"/>
        <v>16.091999999999999</v>
      </c>
      <c r="J137" s="57">
        <f t="shared" si="10"/>
        <v>0.73699999999999832</v>
      </c>
    </row>
    <row r="138" spans="1:10">
      <c r="A138">
        <v>54</v>
      </c>
      <c r="B138">
        <v>7.7593370756163974E-2</v>
      </c>
      <c r="C138">
        <f t="shared" si="9"/>
        <v>16.169334223007315</v>
      </c>
      <c r="D138">
        <f t="shared" si="7"/>
        <v>17</v>
      </c>
      <c r="E138" s="87"/>
      <c r="I138">
        <f t="shared" si="8"/>
        <v>16.169</v>
      </c>
      <c r="J138" s="57">
        <f t="shared" si="10"/>
        <v>7.7000000000001734E-2</v>
      </c>
    </row>
    <row r="139" spans="1:10">
      <c r="A139">
        <v>55</v>
      </c>
      <c r="B139">
        <v>5.9136666350705989E-2</v>
      </c>
      <c r="C139">
        <f t="shared" si="9"/>
        <v>16.228470889358022</v>
      </c>
      <c r="D139">
        <f t="shared" si="7"/>
        <v>17</v>
      </c>
      <c r="E139" s="87"/>
      <c r="I139">
        <f t="shared" si="8"/>
        <v>16.228000000000002</v>
      </c>
      <c r="J139" s="57">
        <f t="shared" si="10"/>
        <v>5.9000000000001052E-2</v>
      </c>
    </row>
    <row r="140" spans="1:10">
      <c r="A140">
        <v>56</v>
      </c>
      <c r="B140">
        <v>8.6555014224187946E-2</v>
      </c>
      <c r="C140">
        <f t="shared" si="9"/>
        <v>16.31502590358221</v>
      </c>
      <c r="D140">
        <f t="shared" si="7"/>
        <v>17</v>
      </c>
      <c r="E140" s="87"/>
      <c r="I140">
        <f t="shared" si="8"/>
        <v>16.315000000000001</v>
      </c>
      <c r="J140" s="57">
        <f t="shared" si="10"/>
        <v>8.6999999999999744E-2</v>
      </c>
    </row>
    <row r="141" spans="1:10">
      <c r="A141">
        <v>57</v>
      </c>
      <c r="B141">
        <v>0.11503022687735469</v>
      </c>
      <c r="C141">
        <f t="shared" si="9"/>
        <v>16.430056130459565</v>
      </c>
      <c r="D141">
        <f t="shared" si="7"/>
        <v>17</v>
      </c>
      <c r="E141" s="87"/>
      <c r="I141">
        <f t="shared" si="8"/>
        <v>16.43</v>
      </c>
      <c r="J141" s="57">
        <f t="shared" si="10"/>
        <v>0.11499999999999844</v>
      </c>
    </row>
    <row r="142" spans="1:10">
      <c r="A142">
        <v>58</v>
      </c>
      <c r="B142">
        <v>0.28658483848880806</v>
      </c>
      <c r="C142">
        <f t="shared" si="9"/>
        <v>16.716640968948372</v>
      </c>
      <c r="D142">
        <f t="shared" si="7"/>
        <v>17</v>
      </c>
      <c r="E142" s="87"/>
      <c r="I142">
        <f t="shared" si="8"/>
        <v>16.716999999999999</v>
      </c>
      <c r="J142" s="57">
        <f t="shared" si="10"/>
        <v>0.28699999999999903</v>
      </c>
    </row>
    <row r="143" spans="1:10">
      <c r="A143">
        <v>59</v>
      </c>
      <c r="B143">
        <v>8.3581353899737892E-2</v>
      </c>
      <c r="C143">
        <f t="shared" si="9"/>
        <v>16.800222322848111</v>
      </c>
      <c r="D143">
        <f t="shared" si="7"/>
        <v>17</v>
      </c>
      <c r="E143" s="87"/>
      <c r="I143">
        <f t="shared" si="8"/>
        <v>16.8</v>
      </c>
      <c r="J143" s="57">
        <f t="shared" si="10"/>
        <v>8.3000000000001961E-2</v>
      </c>
    </row>
    <row r="144" spans="1:10">
      <c r="A144">
        <v>60</v>
      </c>
      <c r="B144">
        <v>2.4335381691841389E-2</v>
      </c>
      <c r="C144">
        <f t="shared" si="9"/>
        <v>16.824557704539952</v>
      </c>
      <c r="D144">
        <f t="shared" si="7"/>
        <v>17</v>
      </c>
      <c r="E144" s="88"/>
      <c r="I144">
        <f t="shared" si="8"/>
        <v>16.824999999999999</v>
      </c>
      <c r="J144" s="57">
        <f t="shared" si="10"/>
        <v>2.4999999999998579E-2</v>
      </c>
    </row>
    <row r="145" spans="1:10">
      <c r="A145">
        <v>61</v>
      </c>
      <c r="B145">
        <v>0.64378658375476883</v>
      </c>
      <c r="C145">
        <f t="shared" si="9"/>
        <v>17.46834428829472</v>
      </c>
      <c r="D145">
        <f t="shared" si="7"/>
        <v>18</v>
      </c>
      <c r="E145" s="86">
        <v>4</v>
      </c>
      <c r="I145">
        <f t="shared" si="8"/>
        <v>17.468</v>
      </c>
      <c r="J145" s="57">
        <f t="shared" si="10"/>
        <v>0.64300000000000068</v>
      </c>
    </row>
    <row r="146" spans="1:10">
      <c r="A146">
        <v>62</v>
      </c>
      <c r="B146">
        <v>2.9526633675244416E-2</v>
      </c>
      <c r="C146">
        <f t="shared" si="9"/>
        <v>17.497870921969962</v>
      </c>
      <c r="D146">
        <f t="shared" si="7"/>
        <v>18</v>
      </c>
      <c r="E146" s="87"/>
      <c r="I146">
        <f t="shared" si="8"/>
        <v>17.498000000000001</v>
      </c>
      <c r="J146" s="57">
        <f t="shared" si="10"/>
        <v>3.0000000000001137E-2</v>
      </c>
    </row>
    <row r="147" spans="1:10">
      <c r="A147">
        <v>63</v>
      </c>
      <c r="B147">
        <v>0.16863093721759767</v>
      </c>
      <c r="C147">
        <f t="shared" si="9"/>
        <v>17.666501859187559</v>
      </c>
      <c r="D147">
        <f t="shared" si="7"/>
        <v>18</v>
      </c>
      <c r="E147" s="87"/>
      <c r="I147">
        <f t="shared" si="8"/>
        <v>17.667000000000002</v>
      </c>
      <c r="J147" s="57">
        <f t="shared" si="10"/>
        <v>0.16900000000000048</v>
      </c>
    </row>
    <row r="148" spans="1:10">
      <c r="A148">
        <v>64</v>
      </c>
      <c r="B148">
        <v>0.22698370909753265</v>
      </c>
      <c r="C148">
        <f t="shared" si="9"/>
        <v>17.89348556828509</v>
      </c>
      <c r="D148">
        <f t="shared" si="7"/>
        <v>18</v>
      </c>
      <c r="E148" s="88"/>
      <c r="I148">
        <f t="shared" si="8"/>
        <v>17.893000000000001</v>
      </c>
      <c r="J148" s="57">
        <f t="shared" si="10"/>
        <v>0.22599999999999909</v>
      </c>
    </row>
    <row r="149" spans="1:10">
      <c r="A149">
        <v>65</v>
      </c>
      <c r="B149">
        <v>0.13693035703136697</v>
      </c>
      <c r="C149">
        <f t="shared" si="9"/>
        <v>18.030415925316458</v>
      </c>
      <c r="D149">
        <f t="shared" si="7"/>
        <v>19</v>
      </c>
      <c r="E149" s="86">
        <v>6</v>
      </c>
      <c r="I149">
        <f t="shared" si="8"/>
        <v>18.03</v>
      </c>
      <c r="J149" s="57">
        <f t="shared" si="10"/>
        <v>0.13700000000000045</v>
      </c>
    </row>
    <row r="150" spans="1:10">
      <c r="A150">
        <v>66</v>
      </c>
      <c r="B150">
        <v>4.7761678468797399E-2</v>
      </c>
      <c r="C150">
        <f t="shared" si="9"/>
        <v>18.078177603785257</v>
      </c>
      <c r="D150">
        <f t="shared" ref="D150:D213" si="11" xml:space="preserve"> ROUNDUP(C150,0)</f>
        <v>19</v>
      </c>
      <c r="E150" s="87"/>
      <c r="I150">
        <f t="shared" ref="I150:I213" si="12">ROUND(C150,3)</f>
        <v>18.077999999999999</v>
      </c>
      <c r="J150" s="57">
        <f t="shared" si="10"/>
        <v>4.7999999999998266E-2</v>
      </c>
    </row>
    <row r="151" spans="1:10">
      <c r="A151">
        <v>67</v>
      </c>
      <c r="B151">
        <v>0.53419857385848857</v>
      </c>
      <c r="C151">
        <f t="shared" ref="C151:C214" si="13">B151+C150</f>
        <v>18.612376177643746</v>
      </c>
      <c r="D151">
        <f t="shared" si="11"/>
        <v>19</v>
      </c>
      <c r="E151" s="87"/>
      <c r="I151">
        <f t="shared" si="12"/>
        <v>18.611999999999998</v>
      </c>
      <c r="J151" s="57">
        <f t="shared" ref="J151:J214" si="14">I151-I150</f>
        <v>0.53399999999999892</v>
      </c>
    </row>
    <row r="152" spans="1:10">
      <c r="A152">
        <v>68</v>
      </c>
      <c r="B152">
        <v>9.6352777711966556E-2</v>
      </c>
      <c r="C152">
        <f t="shared" si="13"/>
        <v>18.708728955355713</v>
      </c>
      <c r="D152">
        <f t="shared" si="11"/>
        <v>19</v>
      </c>
      <c r="E152" s="87"/>
      <c r="I152">
        <f t="shared" si="12"/>
        <v>18.709</v>
      </c>
      <c r="J152" s="57">
        <f t="shared" si="14"/>
        <v>9.7000000000001307E-2</v>
      </c>
    </row>
    <row r="153" spans="1:10">
      <c r="A153">
        <v>69</v>
      </c>
      <c r="B153">
        <v>5.6649290826208079E-2</v>
      </c>
      <c r="C153">
        <f t="shared" si="13"/>
        <v>18.765378246181921</v>
      </c>
      <c r="D153">
        <f t="shared" si="11"/>
        <v>19</v>
      </c>
      <c r="E153" s="87"/>
      <c r="I153">
        <f t="shared" si="12"/>
        <v>18.765000000000001</v>
      </c>
      <c r="J153" s="57">
        <f t="shared" si="14"/>
        <v>5.6000000000000938E-2</v>
      </c>
    </row>
    <row r="154" spans="1:10">
      <c r="A154">
        <v>70</v>
      </c>
      <c r="B154">
        <v>5.7788318805261953E-2</v>
      </c>
      <c r="C154">
        <f t="shared" si="13"/>
        <v>18.823166564987183</v>
      </c>
      <c r="D154">
        <f t="shared" si="11"/>
        <v>19</v>
      </c>
      <c r="E154" s="88"/>
      <c r="I154">
        <f t="shared" si="12"/>
        <v>18.823</v>
      </c>
      <c r="J154" s="57">
        <f t="shared" si="14"/>
        <v>5.7999999999999829E-2</v>
      </c>
    </row>
    <row r="155" spans="1:10">
      <c r="A155">
        <v>71</v>
      </c>
      <c r="B155">
        <v>0.32028631555080644</v>
      </c>
      <c r="C155">
        <f t="shared" si="13"/>
        <v>19.143452880537989</v>
      </c>
      <c r="D155">
        <f t="shared" si="11"/>
        <v>20</v>
      </c>
      <c r="E155" s="86">
        <v>4</v>
      </c>
      <c r="I155">
        <f t="shared" si="12"/>
        <v>19.143000000000001</v>
      </c>
      <c r="J155" s="57">
        <f t="shared" si="14"/>
        <v>0.32000000000000028</v>
      </c>
    </row>
    <row r="156" spans="1:10">
      <c r="A156">
        <v>72</v>
      </c>
      <c r="B156">
        <v>0.50339816643433011</v>
      </c>
      <c r="C156">
        <f t="shared" si="13"/>
        <v>19.646851046972319</v>
      </c>
      <c r="D156">
        <f t="shared" si="11"/>
        <v>20</v>
      </c>
      <c r="E156" s="87"/>
      <c r="I156">
        <f t="shared" si="12"/>
        <v>19.646999999999998</v>
      </c>
      <c r="J156" s="57">
        <f t="shared" si="14"/>
        <v>0.50399999999999778</v>
      </c>
    </row>
    <row r="157" spans="1:10">
      <c r="A157">
        <v>73</v>
      </c>
      <c r="B157">
        <v>0.12101451710978989</v>
      </c>
      <c r="C157">
        <f t="shared" si="13"/>
        <v>19.767865564082108</v>
      </c>
      <c r="D157">
        <f t="shared" si="11"/>
        <v>20</v>
      </c>
      <c r="E157" s="87"/>
      <c r="I157">
        <f t="shared" si="12"/>
        <v>19.768000000000001</v>
      </c>
      <c r="J157" s="57">
        <f t="shared" si="14"/>
        <v>0.12100000000000222</v>
      </c>
    </row>
    <row r="158" spans="1:10">
      <c r="A158">
        <v>74</v>
      </c>
      <c r="B158">
        <v>0.12394000686523042</v>
      </c>
      <c r="C158">
        <f t="shared" si="13"/>
        <v>19.891805570947337</v>
      </c>
      <c r="D158">
        <f t="shared" si="11"/>
        <v>20</v>
      </c>
      <c r="E158" s="88"/>
      <c r="I158">
        <f t="shared" si="12"/>
        <v>19.891999999999999</v>
      </c>
      <c r="J158" s="57">
        <f t="shared" si="14"/>
        <v>0.12399999999999878</v>
      </c>
    </row>
    <row r="159" spans="1:10">
      <c r="A159">
        <v>75</v>
      </c>
      <c r="B159">
        <v>0.1362594568753705</v>
      </c>
      <c r="C159">
        <f t="shared" si="13"/>
        <v>20.028065027822709</v>
      </c>
      <c r="D159">
        <f t="shared" si="11"/>
        <v>21</v>
      </c>
      <c r="E159" s="86">
        <v>6</v>
      </c>
      <c r="I159">
        <f t="shared" si="12"/>
        <v>20.027999999999999</v>
      </c>
      <c r="J159" s="57">
        <f t="shared" si="14"/>
        <v>0.13599999999999923</v>
      </c>
    </row>
    <row r="160" spans="1:10">
      <c r="A160">
        <v>76</v>
      </c>
      <c r="B160">
        <v>0.57847074751275029</v>
      </c>
      <c r="C160">
        <f t="shared" si="13"/>
        <v>20.606535775335459</v>
      </c>
      <c r="D160">
        <f t="shared" si="11"/>
        <v>21</v>
      </c>
      <c r="E160" s="87"/>
      <c r="I160">
        <f t="shared" si="12"/>
        <v>20.606999999999999</v>
      </c>
      <c r="J160" s="57">
        <f t="shared" si="14"/>
        <v>0.57900000000000063</v>
      </c>
    </row>
    <row r="161" spans="1:10">
      <c r="A161">
        <v>77</v>
      </c>
      <c r="B161">
        <v>0.19782286938128726</v>
      </c>
      <c r="C161">
        <f t="shared" si="13"/>
        <v>20.804358644716746</v>
      </c>
      <c r="D161">
        <f t="shared" si="11"/>
        <v>21</v>
      </c>
      <c r="E161" s="87"/>
      <c r="I161">
        <f t="shared" si="12"/>
        <v>20.803999999999998</v>
      </c>
      <c r="J161" s="57">
        <f t="shared" si="14"/>
        <v>0.19699999999999918</v>
      </c>
    </row>
    <row r="162" spans="1:10">
      <c r="A162">
        <v>78</v>
      </c>
      <c r="B162">
        <v>5.6220192449798562E-2</v>
      </c>
      <c r="C162">
        <f t="shared" si="13"/>
        <v>20.860578837166546</v>
      </c>
      <c r="D162">
        <f t="shared" si="11"/>
        <v>21</v>
      </c>
      <c r="E162" s="87"/>
      <c r="I162">
        <f t="shared" si="12"/>
        <v>20.861000000000001</v>
      </c>
      <c r="J162" s="57">
        <f t="shared" si="14"/>
        <v>5.700000000000216E-2</v>
      </c>
    </row>
    <row r="163" spans="1:10">
      <c r="A163">
        <v>79</v>
      </c>
      <c r="B163">
        <v>5.8653234660347824E-3</v>
      </c>
      <c r="C163">
        <f t="shared" si="13"/>
        <v>20.866444160632582</v>
      </c>
      <c r="D163">
        <f t="shared" si="11"/>
        <v>21</v>
      </c>
      <c r="E163" s="87"/>
      <c r="I163">
        <f t="shared" si="12"/>
        <v>20.866</v>
      </c>
      <c r="J163" s="57">
        <f t="shared" si="14"/>
        <v>4.9999999999990052E-3</v>
      </c>
    </row>
    <row r="164" spans="1:10">
      <c r="A164">
        <v>80</v>
      </c>
      <c r="B164">
        <v>5.1151382657748948E-2</v>
      </c>
      <c r="C164">
        <f t="shared" si="13"/>
        <v>20.917595543290332</v>
      </c>
      <c r="D164">
        <f t="shared" si="11"/>
        <v>21</v>
      </c>
      <c r="E164" s="88"/>
      <c r="I164">
        <f t="shared" si="12"/>
        <v>20.917999999999999</v>
      </c>
      <c r="J164" s="57">
        <f t="shared" si="14"/>
        <v>5.1999999999999602E-2</v>
      </c>
    </row>
    <row r="165" spans="1:10">
      <c r="A165">
        <v>81</v>
      </c>
      <c r="B165">
        <v>0.40041665526596082</v>
      </c>
      <c r="C165">
        <f t="shared" si="13"/>
        <v>21.318012198556293</v>
      </c>
      <c r="D165">
        <f t="shared" si="11"/>
        <v>22</v>
      </c>
      <c r="E165" s="86">
        <v>5</v>
      </c>
      <c r="I165">
        <f t="shared" si="12"/>
        <v>21.318000000000001</v>
      </c>
      <c r="J165" s="57">
        <f t="shared" si="14"/>
        <v>0.40000000000000213</v>
      </c>
    </row>
    <row r="166" spans="1:10">
      <c r="A166">
        <v>82</v>
      </c>
      <c r="B166">
        <v>0.32290155107019969</v>
      </c>
      <c r="C166">
        <f t="shared" si="13"/>
        <v>21.640913749626492</v>
      </c>
      <c r="D166">
        <f t="shared" si="11"/>
        <v>22</v>
      </c>
      <c r="E166" s="87"/>
      <c r="I166">
        <f t="shared" si="12"/>
        <v>21.640999999999998</v>
      </c>
      <c r="J166" s="57">
        <f t="shared" si="14"/>
        <v>0.32299999999999685</v>
      </c>
    </row>
    <row r="167" spans="1:10">
      <c r="A167">
        <v>83</v>
      </c>
      <c r="B167">
        <v>0.96628872488443096</v>
      </c>
      <c r="C167">
        <f t="shared" si="13"/>
        <v>22.607202474510924</v>
      </c>
      <c r="D167">
        <f t="shared" si="11"/>
        <v>23</v>
      </c>
      <c r="E167" s="87"/>
      <c r="I167">
        <f t="shared" si="12"/>
        <v>22.606999999999999</v>
      </c>
      <c r="J167" s="57">
        <f t="shared" si="14"/>
        <v>0.96600000000000108</v>
      </c>
    </row>
    <row r="168" spans="1:10">
      <c r="A168">
        <v>84</v>
      </c>
      <c r="B168">
        <v>0.25975393615655873</v>
      </c>
      <c r="C168">
        <f t="shared" si="13"/>
        <v>22.866956410667484</v>
      </c>
      <c r="D168">
        <f t="shared" si="11"/>
        <v>23</v>
      </c>
      <c r="E168" s="87"/>
      <c r="I168">
        <f t="shared" si="12"/>
        <v>22.867000000000001</v>
      </c>
      <c r="J168" s="57">
        <f t="shared" si="14"/>
        <v>0.26000000000000156</v>
      </c>
    </row>
    <row r="169" spans="1:10">
      <c r="A169">
        <v>85</v>
      </c>
      <c r="B169">
        <v>3.0498557648179957E-2</v>
      </c>
      <c r="C169">
        <f t="shared" si="13"/>
        <v>22.897454968315664</v>
      </c>
      <c r="D169">
        <f t="shared" si="11"/>
        <v>23</v>
      </c>
      <c r="E169" s="88"/>
      <c r="I169">
        <f t="shared" si="12"/>
        <v>22.896999999999998</v>
      </c>
      <c r="J169" s="57">
        <f t="shared" si="14"/>
        <v>2.9999999999997584E-2</v>
      </c>
    </row>
    <row r="170" spans="1:10">
      <c r="A170">
        <v>86</v>
      </c>
      <c r="B170">
        <v>0.24773079337426343</v>
      </c>
      <c r="C170">
        <f t="shared" si="13"/>
        <v>23.145185761689927</v>
      </c>
      <c r="D170">
        <f t="shared" si="11"/>
        <v>24</v>
      </c>
      <c r="E170" s="86">
        <v>5</v>
      </c>
      <c r="I170">
        <f t="shared" si="12"/>
        <v>23.145</v>
      </c>
      <c r="J170" s="57">
        <f t="shared" si="14"/>
        <v>0.24800000000000111</v>
      </c>
    </row>
    <row r="171" spans="1:10">
      <c r="A171">
        <v>87</v>
      </c>
      <c r="B171">
        <v>8.5082642184556981E-2</v>
      </c>
      <c r="C171">
        <f t="shared" si="13"/>
        <v>23.230268403874483</v>
      </c>
      <c r="D171">
        <f t="shared" si="11"/>
        <v>24</v>
      </c>
      <c r="E171" s="87"/>
      <c r="I171">
        <f t="shared" si="12"/>
        <v>23.23</v>
      </c>
      <c r="J171" s="57">
        <f t="shared" si="14"/>
        <v>8.5000000000000853E-2</v>
      </c>
    </row>
    <row r="172" spans="1:10">
      <c r="A172">
        <v>88</v>
      </c>
      <c r="B172">
        <v>0.10925877412403988</v>
      </c>
      <c r="C172">
        <f t="shared" si="13"/>
        <v>23.339527177998523</v>
      </c>
      <c r="D172">
        <f t="shared" si="11"/>
        <v>24</v>
      </c>
      <c r="E172" s="87"/>
      <c r="I172">
        <f t="shared" si="12"/>
        <v>23.34</v>
      </c>
      <c r="J172" s="57">
        <f t="shared" si="14"/>
        <v>0.10999999999999943</v>
      </c>
    </row>
    <row r="173" spans="1:10">
      <c r="A173">
        <v>89</v>
      </c>
      <c r="B173">
        <v>0.16893519199726831</v>
      </c>
      <c r="C173">
        <f t="shared" si="13"/>
        <v>23.50846236999579</v>
      </c>
      <c r="D173">
        <f t="shared" si="11"/>
        <v>24</v>
      </c>
      <c r="E173" s="87"/>
      <c r="I173">
        <f t="shared" si="12"/>
        <v>23.507999999999999</v>
      </c>
      <c r="J173" s="57">
        <f t="shared" si="14"/>
        <v>0.16799999999999926</v>
      </c>
    </row>
    <row r="174" spans="1:10">
      <c r="A174">
        <v>90</v>
      </c>
      <c r="B174">
        <v>0.23896473218180747</v>
      </c>
      <c r="C174">
        <f t="shared" si="13"/>
        <v>23.747427102177596</v>
      </c>
      <c r="D174">
        <f t="shared" si="11"/>
        <v>24</v>
      </c>
      <c r="E174" s="88"/>
      <c r="I174">
        <f t="shared" si="12"/>
        <v>23.747</v>
      </c>
      <c r="J174" s="57">
        <f t="shared" si="14"/>
        <v>0.23900000000000077</v>
      </c>
    </row>
    <row r="175" spans="1:10">
      <c r="A175">
        <v>91</v>
      </c>
      <c r="B175">
        <v>0.8432140330885266</v>
      </c>
      <c r="C175">
        <f t="shared" si="13"/>
        <v>24.590641135266122</v>
      </c>
      <c r="D175">
        <f t="shared" si="11"/>
        <v>25</v>
      </c>
      <c r="E175" s="53">
        <v>1</v>
      </c>
      <c r="I175">
        <f t="shared" si="12"/>
        <v>24.591000000000001</v>
      </c>
      <c r="J175" s="57">
        <f t="shared" si="14"/>
        <v>0.84400000000000119</v>
      </c>
    </row>
    <row r="176" spans="1:10">
      <c r="A176">
        <v>92</v>
      </c>
      <c r="B176">
        <v>0.75104962645447637</v>
      </c>
      <c r="C176">
        <f t="shared" si="13"/>
        <v>25.341690761720599</v>
      </c>
      <c r="D176">
        <f t="shared" si="11"/>
        <v>26</v>
      </c>
      <c r="E176" s="86">
        <v>5</v>
      </c>
      <c r="I176">
        <f t="shared" si="12"/>
        <v>25.341999999999999</v>
      </c>
      <c r="J176" s="57">
        <f t="shared" si="14"/>
        <v>0.75099999999999767</v>
      </c>
    </row>
    <row r="177" spans="1:10">
      <c r="A177">
        <v>93</v>
      </c>
      <c r="B177">
        <v>4.4320082316414981E-2</v>
      </c>
      <c r="C177">
        <f t="shared" si="13"/>
        <v>25.386010844037013</v>
      </c>
      <c r="D177">
        <f t="shared" si="11"/>
        <v>26</v>
      </c>
      <c r="E177" s="87"/>
      <c r="I177">
        <f t="shared" si="12"/>
        <v>25.385999999999999</v>
      </c>
      <c r="J177" s="57">
        <f t="shared" si="14"/>
        <v>4.4000000000000483E-2</v>
      </c>
    </row>
    <row r="178" spans="1:10">
      <c r="A178">
        <v>94</v>
      </c>
      <c r="B178">
        <v>0.14769067873798361</v>
      </c>
      <c r="C178">
        <f t="shared" si="13"/>
        <v>25.533701522774997</v>
      </c>
      <c r="D178">
        <f t="shared" si="11"/>
        <v>26</v>
      </c>
      <c r="E178" s="87"/>
      <c r="I178">
        <f t="shared" si="12"/>
        <v>25.533999999999999</v>
      </c>
      <c r="J178" s="57">
        <f t="shared" si="14"/>
        <v>0.14799999999999969</v>
      </c>
    </row>
    <row r="179" spans="1:10">
      <c r="A179">
        <v>95</v>
      </c>
      <c r="B179">
        <v>0.26250320337538735</v>
      </c>
      <c r="C179">
        <f t="shared" si="13"/>
        <v>25.796204726150386</v>
      </c>
      <c r="D179">
        <f t="shared" si="11"/>
        <v>26</v>
      </c>
      <c r="E179" s="87"/>
      <c r="I179">
        <f t="shared" si="12"/>
        <v>25.795999999999999</v>
      </c>
      <c r="J179" s="57">
        <f t="shared" si="14"/>
        <v>0.26200000000000045</v>
      </c>
    </row>
    <row r="180" spans="1:10">
      <c r="A180">
        <v>96</v>
      </c>
      <c r="B180">
        <v>0.17720867638840962</v>
      </c>
      <c r="C180">
        <f t="shared" si="13"/>
        <v>25.973413402538796</v>
      </c>
      <c r="D180">
        <f t="shared" si="11"/>
        <v>26</v>
      </c>
      <c r="E180" s="88"/>
      <c r="I180">
        <f t="shared" si="12"/>
        <v>25.972999999999999</v>
      </c>
      <c r="J180" s="57">
        <f t="shared" si="14"/>
        <v>0.1769999999999996</v>
      </c>
    </row>
    <row r="181" spans="1:10">
      <c r="A181">
        <v>97</v>
      </c>
      <c r="B181">
        <v>0.3544976861104096</v>
      </c>
      <c r="C181">
        <f t="shared" si="13"/>
        <v>26.327911088649206</v>
      </c>
      <c r="D181">
        <f t="shared" si="11"/>
        <v>27</v>
      </c>
      <c r="E181" s="86">
        <v>3</v>
      </c>
      <c r="I181">
        <f t="shared" si="12"/>
        <v>26.327999999999999</v>
      </c>
      <c r="J181" s="57">
        <f t="shared" si="14"/>
        <v>0.35500000000000043</v>
      </c>
    </row>
    <row r="182" spans="1:10">
      <c r="A182">
        <v>98</v>
      </c>
      <c r="B182">
        <v>0.33186616522333157</v>
      </c>
      <c r="C182">
        <f t="shared" si="13"/>
        <v>26.659777253872537</v>
      </c>
      <c r="D182">
        <f t="shared" si="11"/>
        <v>27</v>
      </c>
      <c r="E182" s="87"/>
      <c r="I182">
        <f t="shared" si="12"/>
        <v>26.66</v>
      </c>
      <c r="J182" s="57">
        <f t="shared" si="14"/>
        <v>0.33200000000000074</v>
      </c>
    </row>
    <row r="183" spans="1:10">
      <c r="A183">
        <v>99</v>
      </c>
      <c r="B183">
        <v>0.29024463120677901</v>
      </c>
      <c r="C183">
        <f t="shared" si="13"/>
        <v>26.950021885079316</v>
      </c>
      <c r="D183">
        <f t="shared" si="11"/>
        <v>27</v>
      </c>
      <c r="E183" s="88"/>
      <c r="I183">
        <f t="shared" si="12"/>
        <v>26.95</v>
      </c>
      <c r="J183" s="57">
        <f t="shared" si="14"/>
        <v>0.28999999999999915</v>
      </c>
    </row>
    <row r="184" spans="1:10">
      <c r="A184">
        <v>100</v>
      </c>
      <c r="B184">
        <v>0.3754000727729383</v>
      </c>
      <c r="C184">
        <f t="shared" si="13"/>
        <v>27.325421957852253</v>
      </c>
      <c r="D184">
        <f t="shared" si="11"/>
        <v>28</v>
      </c>
      <c r="E184" s="86">
        <v>3</v>
      </c>
      <c r="I184">
        <f t="shared" si="12"/>
        <v>27.324999999999999</v>
      </c>
      <c r="J184" s="57">
        <f t="shared" si="14"/>
        <v>0.375</v>
      </c>
    </row>
    <row r="185" spans="1:10">
      <c r="A185">
        <v>101</v>
      </c>
      <c r="B185">
        <v>0.37720750089300514</v>
      </c>
      <c r="C185">
        <f t="shared" si="13"/>
        <v>27.702629458745257</v>
      </c>
      <c r="D185">
        <f t="shared" si="11"/>
        <v>28</v>
      </c>
      <c r="E185" s="87"/>
      <c r="I185">
        <f t="shared" si="12"/>
        <v>27.702999999999999</v>
      </c>
      <c r="J185" s="57">
        <f t="shared" si="14"/>
        <v>0.37800000000000011</v>
      </c>
    </row>
    <row r="186" spans="1:10">
      <c r="A186">
        <v>102</v>
      </c>
      <c r="B186">
        <v>3.6127528099637609E-3</v>
      </c>
      <c r="C186">
        <f t="shared" si="13"/>
        <v>27.706242211555221</v>
      </c>
      <c r="D186">
        <f t="shared" si="11"/>
        <v>28</v>
      </c>
      <c r="E186" s="88"/>
      <c r="I186">
        <f t="shared" si="12"/>
        <v>27.706</v>
      </c>
      <c r="J186" s="57">
        <f t="shared" si="14"/>
        <v>3.0000000000001137E-3</v>
      </c>
    </row>
    <row r="187" spans="1:10">
      <c r="A187">
        <v>103</v>
      </c>
      <c r="B187">
        <v>0.32988601986593674</v>
      </c>
      <c r="C187">
        <f t="shared" si="13"/>
        <v>28.036128231421159</v>
      </c>
      <c r="D187">
        <f t="shared" si="11"/>
        <v>29</v>
      </c>
      <c r="E187" s="86">
        <v>4</v>
      </c>
      <c r="I187">
        <f t="shared" si="12"/>
        <v>28.036000000000001</v>
      </c>
      <c r="J187" s="57">
        <f t="shared" si="14"/>
        <v>0.33000000000000185</v>
      </c>
    </row>
    <row r="188" spans="1:10">
      <c r="A188">
        <v>104</v>
      </c>
      <c r="B188">
        <v>2.4743388567904697E-2</v>
      </c>
      <c r="C188">
        <f t="shared" si="13"/>
        <v>28.060871619989065</v>
      </c>
      <c r="D188">
        <f t="shared" si="11"/>
        <v>29</v>
      </c>
      <c r="E188" s="87"/>
      <c r="I188">
        <f t="shared" si="12"/>
        <v>28.061</v>
      </c>
      <c r="J188" s="57">
        <f t="shared" si="14"/>
        <v>2.4999999999998579E-2</v>
      </c>
    </row>
    <row r="189" spans="1:10">
      <c r="A189">
        <v>105</v>
      </c>
      <c r="B189">
        <v>4.0998007561262026E-2</v>
      </c>
      <c r="C189">
        <f t="shared" si="13"/>
        <v>28.101869627550329</v>
      </c>
      <c r="D189">
        <f t="shared" si="11"/>
        <v>29</v>
      </c>
      <c r="E189" s="87"/>
      <c r="I189">
        <f t="shared" si="12"/>
        <v>28.102</v>
      </c>
      <c r="J189" s="57">
        <f t="shared" si="14"/>
        <v>4.1000000000000369E-2</v>
      </c>
    </row>
    <row r="190" spans="1:10">
      <c r="A190">
        <v>106</v>
      </c>
      <c r="B190">
        <v>0.52924355846643256</v>
      </c>
      <c r="C190">
        <f t="shared" si="13"/>
        <v>28.631113186016762</v>
      </c>
      <c r="D190">
        <f t="shared" si="11"/>
        <v>29</v>
      </c>
      <c r="E190" s="88"/>
      <c r="I190">
        <f t="shared" si="12"/>
        <v>28.631</v>
      </c>
      <c r="J190" s="57">
        <f t="shared" si="14"/>
        <v>0.52899999999999991</v>
      </c>
    </row>
    <row r="191" spans="1:10">
      <c r="A191">
        <v>107</v>
      </c>
      <c r="B191">
        <v>1.3915026309413254</v>
      </c>
      <c r="C191">
        <f t="shared" si="13"/>
        <v>30.022615816958087</v>
      </c>
      <c r="D191">
        <f t="shared" si="11"/>
        <v>31</v>
      </c>
      <c r="E191" s="52">
        <v>0</v>
      </c>
      <c r="F191" s="46" t="s">
        <v>81</v>
      </c>
      <c r="I191">
        <f t="shared" si="12"/>
        <v>30.023</v>
      </c>
      <c r="J191" s="57">
        <f t="shared" si="14"/>
        <v>1.3919999999999995</v>
      </c>
    </row>
    <row r="192" spans="1:10">
      <c r="A192">
        <v>108</v>
      </c>
      <c r="B192">
        <v>0.25626059476828716</v>
      </c>
      <c r="C192">
        <f t="shared" si="13"/>
        <v>30.278876411726372</v>
      </c>
      <c r="D192">
        <f t="shared" si="11"/>
        <v>31</v>
      </c>
      <c r="E192" s="86">
        <v>6</v>
      </c>
      <c r="I192">
        <f t="shared" si="12"/>
        <v>30.279</v>
      </c>
      <c r="J192" s="57">
        <f t="shared" si="14"/>
        <v>0.25600000000000023</v>
      </c>
    </row>
    <row r="193" spans="1:10">
      <c r="A193">
        <v>109</v>
      </c>
      <c r="B193">
        <v>0.21530502673407537</v>
      </c>
      <c r="C193">
        <f t="shared" si="13"/>
        <v>30.494181438460448</v>
      </c>
      <c r="D193">
        <f t="shared" si="11"/>
        <v>31</v>
      </c>
      <c r="E193" s="87"/>
      <c r="I193">
        <f t="shared" si="12"/>
        <v>30.494</v>
      </c>
      <c r="J193" s="57">
        <f t="shared" si="14"/>
        <v>0.21499999999999986</v>
      </c>
    </row>
    <row r="194" spans="1:10">
      <c r="A194">
        <v>110</v>
      </c>
      <c r="B194">
        <v>8.8359181527985359E-2</v>
      </c>
      <c r="C194">
        <f t="shared" si="13"/>
        <v>30.582540619988432</v>
      </c>
      <c r="D194">
        <f t="shared" si="11"/>
        <v>31</v>
      </c>
      <c r="E194" s="87"/>
      <c r="I194">
        <f t="shared" si="12"/>
        <v>30.582999999999998</v>
      </c>
      <c r="J194" s="57">
        <f t="shared" si="14"/>
        <v>8.8999999999998636E-2</v>
      </c>
    </row>
    <row r="195" spans="1:10">
      <c r="A195">
        <v>111</v>
      </c>
      <c r="B195">
        <v>0.27081261709512666</v>
      </c>
      <c r="C195">
        <f t="shared" si="13"/>
        <v>30.85335323708356</v>
      </c>
      <c r="D195">
        <f t="shared" si="11"/>
        <v>31</v>
      </c>
      <c r="E195" s="87"/>
      <c r="I195">
        <f t="shared" si="12"/>
        <v>30.853000000000002</v>
      </c>
      <c r="J195" s="57">
        <f t="shared" si="14"/>
        <v>0.27000000000000313</v>
      </c>
    </row>
    <row r="196" spans="1:10">
      <c r="A196">
        <v>112</v>
      </c>
      <c r="B196">
        <v>0.12850908937694397</v>
      </c>
      <c r="C196">
        <f t="shared" si="13"/>
        <v>30.981862326460504</v>
      </c>
      <c r="D196">
        <f t="shared" si="11"/>
        <v>31</v>
      </c>
      <c r="E196" s="88"/>
      <c r="I196">
        <f t="shared" si="12"/>
        <v>30.981999999999999</v>
      </c>
      <c r="J196" s="57">
        <f t="shared" si="14"/>
        <v>0.12899999999999778</v>
      </c>
    </row>
    <row r="197" spans="1:10">
      <c r="A197">
        <v>113</v>
      </c>
      <c r="B197">
        <v>0.36314067720832938</v>
      </c>
      <c r="C197">
        <f t="shared" si="13"/>
        <v>31.345003003668833</v>
      </c>
      <c r="D197">
        <f t="shared" si="11"/>
        <v>32</v>
      </c>
      <c r="E197" s="86">
        <v>2</v>
      </c>
      <c r="I197">
        <f t="shared" si="12"/>
        <v>31.344999999999999</v>
      </c>
      <c r="J197" s="57">
        <f t="shared" si="14"/>
        <v>0.36299999999999955</v>
      </c>
    </row>
    <row r="198" spans="1:10">
      <c r="A198">
        <v>114</v>
      </c>
      <c r="B198">
        <v>0.18324835648079565</v>
      </c>
      <c r="C198">
        <f t="shared" si="13"/>
        <v>31.528251360149628</v>
      </c>
      <c r="D198">
        <f t="shared" si="11"/>
        <v>32</v>
      </c>
      <c r="E198" s="88"/>
      <c r="I198">
        <f t="shared" si="12"/>
        <v>31.527999999999999</v>
      </c>
      <c r="J198" s="57">
        <f t="shared" si="14"/>
        <v>0.18299999999999983</v>
      </c>
    </row>
    <row r="199" spans="1:10">
      <c r="A199">
        <v>115</v>
      </c>
      <c r="B199">
        <v>1.5034702341010122</v>
      </c>
      <c r="C199">
        <f t="shared" si="13"/>
        <v>33.031721594250641</v>
      </c>
      <c r="D199">
        <f t="shared" si="11"/>
        <v>34</v>
      </c>
      <c r="E199" s="52">
        <v>0</v>
      </c>
      <c r="F199" s="49" t="s">
        <v>82</v>
      </c>
      <c r="I199">
        <f t="shared" si="12"/>
        <v>33.031999999999996</v>
      </c>
      <c r="J199" s="57">
        <f t="shared" si="14"/>
        <v>1.5039999999999978</v>
      </c>
    </row>
    <row r="200" spans="1:10">
      <c r="A200">
        <v>116</v>
      </c>
      <c r="B200">
        <v>8.1685895234721806E-2</v>
      </c>
      <c r="C200">
        <f t="shared" si="13"/>
        <v>33.113407489485361</v>
      </c>
      <c r="D200">
        <f t="shared" si="11"/>
        <v>34</v>
      </c>
      <c r="E200" s="86">
        <v>8</v>
      </c>
      <c r="I200">
        <f t="shared" si="12"/>
        <v>33.113</v>
      </c>
      <c r="J200" s="57">
        <f t="shared" si="14"/>
        <v>8.100000000000307E-2</v>
      </c>
    </row>
    <row r="201" spans="1:10">
      <c r="A201">
        <v>117</v>
      </c>
      <c r="B201">
        <v>0.14312960831535398</v>
      </c>
      <c r="C201">
        <f t="shared" si="13"/>
        <v>33.256537097800717</v>
      </c>
      <c r="D201">
        <f t="shared" si="11"/>
        <v>34</v>
      </c>
      <c r="E201" s="87"/>
      <c r="I201">
        <f t="shared" si="12"/>
        <v>33.256999999999998</v>
      </c>
      <c r="J201" s="57">
        <f t="shared" si="14"/>
        <v>0.14399999999999835</v>
      </c>
    </row>
    <row r="202" spans="1:10">
      <c r="A202">
        <v>118</v>
      </c>
      <c r="B202">
        <v>0.16473971640571239</v>
      </c>
      <c r="C202">
        <f t="shared" si="13"/>
        <v>33.421276814206429</v>
      </c>
      <c r="D202">
        <f t="shared" si="11"/>
        <v>34</v>
      </c>
      <c r="E202" s="87"/>
      <c r="I202">
        <f t="shared" si="12"/>
        <v>33.420999999999999</v>
      </c>
      <c r="J202" s="57">
        <f t="shared" si="14"/>
        <v>0.16400000000000148</v>
      </c>
    </row>
    <row r="203" spans="1:10">
      <c r="A203">
        <v>119</v>
      </c>
      <c r="B203">
        <v>5.212496007098384E-3</v>
      </c>
      <c r="C203">
        <f t="shared" si="13"/>
        <v>33.426489310213526</v>
      </c>
      <c r="D203">
        <f t="shared" si="11"/>
        <v>34</v>
      </c>
      <c r="E203" s="87"/>
      <c r="I203">
        <f t="shared" si="12"/>
        <v>33.426000000000002</v>
      </c>
      <c r="J203" s="57">
        <f t="shared" si="14"/>
        <v>5.000000000002558E-3</v>
      </c>
    </row>
    <row r="204" spans="1:10">
      <c r="A204">
        <v>120</v>
      </c>
      <c r="B204">
        <v>0.13303136983076211</v>
      </c>
      <c r="C204">
        <f t="shared" si="13"/>
        <v>33.559520680044287</v>
      </c>
      <c r="D204">
        <f t="shared" si="11"/>
        <v>34</v>
      </c>
      <c r="E204" s="87"/>
      <c r="I204">
        <f t="shared" si="12"/>
        <v>33.56</v>
      </c>
      <c r="J204" s="57">
        <f t="shared" si="14"/>
        <v>0.13400000000000034</v>
      </c>
    </row>
    <row r="205" spans="1:10">
      <c r="A205">
        <v>121</v>
      </c>
      <c r="B205">
        <v>7.0804389977031659E-2</v>
      </c>
      <c r="C205">
        <f t="shared" si="13"/>
        <v>33.630325070021321</v>
      </c>
      <c r="D205">
        <f t="shared" si="11"/>
        <v>34</v>
      </c>
      <c r="E205" s="87"/>
      <c r="I205">
        <f t="shared" si="12"/>
        <v>33.630000000000003</v>
      </c>
      <c r="J205" s="57">
        <f t="shared" si="14"/>
        <v>7.0000000000000284E-2</v>
      </c>
    </row>
    <row r="206" spans="1:10">
      <c r="A206">
        <v>122</v>
      </c>
      <c r="B206">
        <v>0.28271797550102118</v>
      </c>
      <c r="C206">
        <f t="shared" si="13"/>
        <v>33.913043045522343</v>
      </c>
      <c r="D206">
        <f t="shared" si="11"/>
        <v>34</v>
      </c>
      <c r="E206" s="88"/>
      <c r="I206">
        <f t="shared" si="12"/>
        <v>33.912999999999997</v>
      </c>
      <c r="J206" s="57">
        <f t="shared" si="14"/>
        <v>0.28299999999999415</v>
      </c>
    </row>
    <row r="207" spans="1:10">
      <c r="A207">
        <v>123</v>
      </c>
      <c r="B207">
        <v>0.15000453702644698</v>
      </c>
      <c r="C207">
        <f t="shared" si="13"/>
        <v>34.063047582548791</v>
      </c>
      <c r="D207">
        <f t="shared" si="11"/>
        <v>35</v>
      </c>
      <c r="E207" s="86">
        <v>3</v>
      </c>
      <c r="I207">
        <f t="shared" si="12"/>
        <v>34.063000000000002</v>
      </c>
      <c r="J207" s="57">
        <f t="shared" si="14"/>
        <v>0.15000000000000568</v>
      </c>
    </row>
    <row r="208" spans="1:10">
      <c r="A208">
        <v>124</v>
      </c>
      <c r="B208">
        <v>0.74328677885855921</v>
      </c>
      <c r="C208">
        <f t="shared" si="13"/>
        <v>34.806334361407352</v>
      </c>
      <c r="D208">
        <f t="shared" si="11"/>
        <v>35</v>
      </c>
      <c r="E208" s="87"/>
      <c r="I208">
        <f t="shared" si="12"/>
        <v>34.805999999999997</v>
      </c>
      <c r="J208" s="57">
        <f t="shared" si="14"/>
        <v>0.742999999999995</v>
      </c>
    </row>
    <row r="209" spans="1:10">
      <c r="A209">
        <v>125</v>
      </c>
      <c r="B209">
        <v>6.4581778041196372E-2</v>
      </c>
      <c r="C209">
        <f t="shared" si="13"/>
        <v>34.870916139448546</v>
      </c>
      <c r="D209">
        <f t="shared" si="11"/>
        <v>35</v>
      </c>
      <c r="E209" s="88"/>
      <c r="I209">
        <f t="shared" si="12"/>
        <v>34.871000000000002</v>
      </c>
      <c r="J209" s="57">
        <f t="shared" si="14"/>
        <v>6.5000000000004832E-2</v>
      </c>
    </row>
    <row r="210" spans="1:10">
      <c r="A210">
        <v>126</v>
      </c>
      <c r="B210">
        <v>0.3368820425610069</v>
      </c>
      <c r="C210">
        <f t="shared" si="13"/>
        <v>35.207798182009554</v>
      </c>
      <c r="D210">
        <f t="shared" si="11"/>
        <v>36</v>
      </c>
      <c r="E210" s="86">
        <v>5</v>
      </c>
      <c r="I210">
        <f t="shared" si="12"/>
        <v>35.207999999999998</v>
      </c>
      <c r="J210" s="57">
        <f t="shared" si="14"/>
        <v>0.33699999999999619</v>
      </c>
    </row>
    <row r="211" spans="1:10">
      <c r="A211">
        <v>127</v>
      </c>
      <c r="B211">
        <v>0.19746463152724775</v>
      </c>
      <c r="C211">
        <f t="shared" si="13"/>
        <v>35.405262813536801</v>
      </c>
      <c r="D211">
        <f t="shared" si="11"/>
        <v>36</v>
      </c>
      <c r="E211" s="87"/>
      <c r="I211">
        <f t="shared" si="12"/>
        <v>35.405000000000001</v>
      </c>
      <c r="J211" s="57">
        <f t="shared" si="14"/>
        <v>0.19700000000000273</v>
      </c>
    </row>
    <row r="212" spans="1:10">
      <c r="A212">
        <v>128</v>
      </c>
      <c r="B212">
        <v>0.1759056072843857</v>
      </c>
      <c r="C212">
        <f t="shared" si="13"/>
        <v>35.581168420821186</v>
      </c>
      <c r="D212">
        <f t="shared" si="11"/>
        <v>36</v>
      </c>
      <c r="E212" s="87"/>
      <c r="I212">
        <f t="shared" si="12"/>
        <v>35.581000000000003</v>
      </c>
      <c r="J212" s="57">
        <f t="shared" si="14"/>
        <v>0.17600000000000193</v>
      </c>
    </row>
    <row r="213" spans="1:10">
      <c r="A213">
        <v>129</v>
      </c>
      <c r="B213">
        <v>0.14992298498144341</v>
      </c>
      <c r="C213">
        <f t="shared" si="13"/>
        <v>35.73109140580263</v>
      </c>
      <c r="D213">
        <f t="shared" si="11"/>
        <v>36</v>
      </c>
      <c r="E213" s="87"/>
      <c r="I213">
        <f t="shared" si="12"/>
        <v>35.731000000000002</v>
      </c>
      <c r="J213" s="57">
        <f t="shared" si="14"/>
        <v>0.14999999999999858</v>
      </c>
    </row>
    <row r="214" spans="1:10">
      <c r="A214">
        <v>130</v>
      </c>
      <c r="B214">
        <v>0.20492691521480827</v>
      </c>
      <c r="C214">
        <f t="shared" si="13"/>
        <v>35.936018321017436</v>
      </c>
      <c r="D214">
        <f t="shared" ref="D214:D277" si="15" xml:space="preserve"> ROUNDUP(C214,0)</f>
        <v>36</v>
      </c>
      <c r="E214" s="88"/>
      <c r="I214">
        <f t="shared" ref="I214:I277" si="16">ROUND(C214,3)</f>
        <v>35.936</v>
      </c>
      <c r="J214" s="57">
        <f t="shared" si="14"/>
        <v>0.20499999999999829</v>
      </c>
    </row>
    <row r="215" spans="1:10">
      <c r="A215">
        <v>131</v>
      </c>
      <c r="B215">
        <v>0.18057886394911504</v>
      </c>
      <c r="C215">
        <f t="shared" ref="C215:C234" si="17">B215+C214</f>
        <v>36.116597184966551</v>
      </c>
      <c r="D215">
        <f t="shared" si="15"/>
        <v>37</v>
      </c>
      <c r="E215" s="86">
        <v>2</v>
      </c>
      <c r="I215">
        <f t="shared" si="16"/>
        <v>36.116999999999997</v>
      </c>
      <c r="J215" s="57">
        <f t="shared" ref="J215:J278" si="18">I215-I214</f>
        <v>0.18099999999999739</v>
      </c>
    </row>
    <row r="216" spans="1:10">
      <c r="A216">
        <v>132</v>
      </c>
      <c r="B216">
        <v>1.3684524525733745E-2</v>
      </c>
      <c r="C216">
        <f t="shared" si="17"/>
        <v>36.130281709492287</v>
      </c>
      <c r="D216">
        <f t="shared" si="15"/>
        <v>37</v>
      </c>
      <c r="E216" s="87"/>
      <c r="I216">
        <f t="shared" si="16"/>
        <v>36.130000000000003</v>
      </c>
      <c r="J216" s="57">
        <f t="shared" si="18"/>
        <v>1.300000000000523E-2</v>
      </c>
    </row>
    <row r="217" spans="1:10">
      <c r="A217">
        <v>133</v>
      </c>
      <c r="B217">
        <v>0.39188115055034212</v>
      </c>
      <c r="C217">
        <f t="shared" si="17"/>
        <v>36.522162860042627</v>
      </c>
      <c r="D217">
        <f t="shared" si="15"/>
        <v>37</v>
      </c>
      <c r="E217" s="88"/>
      <c r="I217">
        <f t="shared" si="16"/>
        <v>36.521999999999998</v>
      </c>
      <c r="J217" s="57">
        <f t="shared" si="18"/>
        <v>0.39199999999999591</v>
      </c>
    </row>
    <row r="218" spans="1:10">
      <c r="A218">
        <v>134</v>
      </c>
      <c r="B218">
        <v>0.49489040693599595</v>
      </c>
      <c r="C218">
        <f t="shared" si="17"/>
        <v>37.017053266978621</v>
      </c>
      <c r="D218">
        <f t="shared" si="15"/>
        <v>38</v>
      </c>
      <c r="E218" s="86">
        <v>5</v>
      </c>
      <c r="I218">
        <f t="shared" si="16"/>
        <v>37.017000000000003</v>
      </c>
      <c r="J218" s="57">
        <f t="shared" si="18"/>
        <v>0.49500000000000455</v>
      </c>
    </row>
    <row r="219" spans="1:10">
      <c r="A219">
        <v>135</v>
      </c>
      <c r="B219">
        <v>6.2188291869594056E-2</v>
      </c>
      <c r="C219">
        <f t="shared" si="17"/>
        <v>37.079241558848217</v>
      </c>
      <c r="D219">
        <f t="shared" si="15"/>
        <v>38</v>
      </c>
      <c r="E219" s="87"/>
      <c r="I219">
        <f t="shared" si="16"/>
        <v>37.079000000000001</v>
      </c>
      <c r="J219" s="57">
        <f t="shared" si="18"/>
        <v>6.1999999999997613E-2</v>
      </c>
    </row>
    <row r="220" spans="1:10">
      <c r="A220">
        <v>136</v>
      </c>
      <c r="B220">
        <v>0.54677767518112874</v>
      </c>
      <c r="C220">
        <f t="shared" si="17"/>
        <v>37.626019234029343</v>
      </c>
      <c r="D220">
        <f t="shared" si="15"/>
        <v>38</v>
      </c>
      <c r="E220" s="87"/>
      <c r="I220">
        <f t="shared" si="16"/>
        <v>37.625999999999998</v>
      </c>
      <c r="J220" s="57">
        <f t="shared" si="18"/>
        <v>0.54699999999999704</v>
      </c>
    </row>
    <row r="221" spans="1:10">
      <c r="A221">
        <v>137</v>
      </c>
      <c r="B221">
        <v>0.15205125127517288</v>
      </c>
      <c r="C221">
        <f t="shared" si="17"/>
        <v>37.778070485304518</v>
      </c>
      <c r="D221">
        <f t="shared" si="15"/>
        <v>38</v>
      </c>
      <c r="E221" s="87"/>
      <c r="I221">
        <f t="shared" si="16"/>
        <v>37.777999999999999</v>
      </c>
      <c r="J221" s="57">
        <f t="shared" si="18"/>
        <v>0.15200000000000102</v>
      </c>
    </row>
    <row r="222" spans="1:10">
      <c r="A222">
        <v>138</v>
      </c>
      <c r="B222">
        <v>7.5985061779556176E-2</v>
      </c>
      <c r="C222">
        <f t="shared" si="17"/>
        <v>37.854055547084073</v>
      </c>
      <c r="D222">
        <f t="shared" si="15"/>
        <v>38</v>
      </c>
      <c r="E222" s="88"/>
      <c r="I222">
        <f t="shared" si="16"/>
        <v>37.853999999999999</v>
      </c>
      <c r="J222" s="57">
        <f t="shared" si="18"/>
        <v>7.6000000000000512E-2</v>
      </c>
    </row>
    <row r="223" spans="1:10">
      <c r="A223">
        <v>139</v>
      </c>
      <c r="B223">
        <v>0.49207218331386643</v>
      </c>
      <c r="C223">
        <f t="shared" si="17"/>
        <v>38.346127730397939</v>
      </c>
      <c r="D223">
        <f t="shared" si="15"/>
        <v>39</v>
      </c>
      <c r="E223" s="86">
        <v>4</v>
      </c>
      <c r="I223">
        <f t="shared" si="16"/>
        <v>38.345999999999997</v>
      </c>
      <c r="J223" s="57">
        <f t="shared" si="18"/>
        <v>0.49199999999999733</v>
      </c>
    </row>
    <row r="224" spans="1:10">
      <c r="A224">
        <v>140</v>
      </c>
      <c r="B224">
        <v>0.10536637584857751</v>
      </c>
      <c r="C224">
        <f t="shared" si="17"/>
        <v>38.451494106246514</v>
      </c>
      <c r="D224">
        <f t="shared" si="15"/>
        <v>39</v>
      </c>
      <c r="E224" s="87"/>
      <c r="I224">
        <f t="shared" si="16"/>
        <v>38.451000000000001</v>
      </c>
      <c r="J224" s="57">
        <f t="shared" si="18"/>
        <v>0.10500000000000398</v>
      </c>
    </row>
    <row r="225" spans="1:10">
      <c r="A225">
        <v>141</v>
      </c>
      <c r="B225">
        <v>0.36268315377276317</v>
      </c>
      <c r="C225">
        <f t="shared" si="17"/>
        <v>38.814177260019278</v>
      </c>
      <c r="D225">
        <f t="shared" si="15"/>
        <v>39</v>
      </c>
      <c r="E225" s="87"/>
      <c r="I225">
        <f t="shared" si="16"/>
        <v>38.814</v>
      </c>
      <c r="J225" s="57">
        <f t="shared" si="18"/>
        <v>0.36299999999999955</v>
      </c>
    </row>
    <row r="226" spans="1:10">
      <c r="A226">
        <v>142</v>
      </c>
      <c r="B226">
        <v>6.6166047822070626E-2</v>
      </c>
      <c r="C226">
        <f t="shared" si="17"/>
        <v>38.880343307841351</v>
      </c>
      <c r="D226">
        <f t="shared" si="15"/>
        <v>39</v>
      </c>
      <c r="E226" s="88"/>
      <c r="I226">
        <f t="shared" si="16"/>
        <v>38.880000000000003</v>
      </c>
      <c r="J226" s="57">
        <f t="shared" si="18"/>
        <v>6.6000000000002501E-2</v>
      </c>
    </row>
    <row r="227" spans="1:10">
      <c r="A227">
        <v>143</v>
      </c>
      <c r="B227">
        <v>0.14835733894206116</v>
      </c>
      <c r="C227">
        <f t="shared" si="17"/>
        <v>39.028700646783413</v>
      </c>
      <c r="D227">
        <f t="shared" si="15"/>
        <v>40</v>
      </c>
      <c r="E227" s="86">
        <v>5</v>
      </c>
      <c r="I227">
        <f t="shared" si="16"/>
        <v>39.029000000000003</v>
      </c>
      <c r="J227" s="57">
        <f t="shared" si="18"/>
        <v>0.14900000000000091</v>
      </c>
    </row>
    <row r="228" spans="1:10">
      <c r="A228">
        <v>144</v>
      </c>
      <c r="B228">
        <v>0.26208630635470515</v>
      </c>
      <c r="C228">
        <f t="shared" si="17"/>
        <v>39.290786953138117</v>
      </c>
      <c r="D228">
        <f t="shared" si="15"/>
        <v>40</v>
      </c>
      <c r="E228" s="87"/>
      <c r="I228">
        <f t="shared" si="16"/>
        <v>39.290999999999997</v>
      </c>
      <c r="J228" s="57">
        <f t="shared" si="18"/>
        <v>0.26199999999999335</v>
      </c>
    </row>
    <row r="229" spans="1:10">
      <c r="A229">
        <v>145</v>
      </c>
      <c r="B229">
        <v>0.17279782805742433</v>
      </c>
      <c r="C229">
        <f t="shared" si="17"/>
        <v>39.463584781195543</v>
      </c>
      <c r="D229">
        <f t="shared" si="15"/>
        <v>40</v>
      </c>
      <c r="E229" s="87"/>
      <c r="I229">
        <f t="shared" si="16"/>
        <v>39.463999999999999</v>
      </c>
      <c r="J229" s="57">
        <f t="shared" si="18"/>
        <v>0.17300000000000182</v>
      </c>
    </row>
    <row r="230" spans="1:10">
      <c r="A230">
        <v>146</v>
      </c>
      <c r="B230">
        <v>7.7596488506422118E-2</v>
      </c>
      <c r="C230">
        <f t="shared" si="17"/>
        <v>39.541181269701966</v>
      </c>
      <c r="D230">
        <f t="shared" si="15"/>
        <v>40</v>
      </c>
      <c r="E230" s="87"/>
      <c r="I230">
        <f t="shared" si="16"/>
        <v>39.540999999999997</v>
      </c>
      <c r="J230" s="57">
        <f t="shared" si="18"/>
        <v>7.6999999999998181E-2</v>
      </c>
    </row>
    <row r="231" spans="1:10">
      <c r="A231">
        <v>147</v>
      </c>
      <c r="B231">
        <v>0.29405070545253265</v>
      </c>
      <c r="C231">
        <f t="shared" si="17"/>
        <v>39.8352319751545</v>
      </c>
      <c r="D231">
        <f t="shared" si="15"/>
        <v>40</v>
      </c>
      <c r="E231" s="88"/>
      <c r="I231">
        <f t="shared" si="16"/>
        <v>39.835000000000001</v>
      </c>
      <c r="J231" s="57">
        <f t="shared" si="18"/>
        <v>0.29400000000000404</v>
      </c>
    </row>
    <row r="232" spans="1:10">
      <c r="A232">
        <v>148</v>
      </c>
      <c r="B232">
        <v>0.29528038109619881</v>
      </c>
      <c r="C232">
        <f t="shared" si="17"/>
        <v>40.130512356250698</v>
      </c>
      <c r="D232">
        <f t="shared" si="15"/>
        <v>41</v>
      </c>
      <c r="E232" s="86">
        <v>6</v>
      </c>
      <c r="I232">
        <f t="shared" si="16"/>
        <v>40.131</v>
      </c>
      <c r="J232" s="57">
        <f t="shared" si="18"/>
        <v>0.29599999999999937</v>
      </c>
    </row>
    <row r="233" spans="1:10">
      <c r="A233">
        <v>149</v>
      </c>
      <c r="B233">
        <v>0.10234745997055121</v>
      </c>
      <c r="C233">
        <f t="shared" si="17"/>
        <v>40.23285981622125</v>
      </c>
      <c r="D233">
        <f t="shared" si="15"/>
        <v>41</v>
      </c>
      <c r="E233" s="87"/>
      <c r="I233">
        <f t="shared" si="16"/>
        <v>40.232999999999997</v>
      </c>
      <c r="J233" s="57">
        <f t="shared" si="18"/>
        <v>0.10199999999999676</v>
      </c>
    </row>
    <row r="234" spans="1:10">
      <c r="A234">
        <v>150</v>
      </c>
      <c r="B234">
        <v>0.24180543093645893</v>
      </c>
      <c r="C234">
        <f t="shared" si="17"/>
        <v>40.474665247157709</v>
      </c>
      <c r="D234">
        <f t="shared" si="15"/>
        <v>41</v>
      </c>
      <c r="E234" s="87"/>
      <c r="I234">
        <f t="shared" si="16"/>
        <v>40.475000000000001</v>
      </c>
      <c r="J234" s="57">
        <f t="shared" si="18"/>
        <v>0.24200000000000443</v>
      </c>
    </row>
    <row r="235" spans="1:10">
      <c r="A235">
        <v>151</v>
      </c>
      <c r="B235">
        <v>0.30965439474085477</v>
      </c>
      <c r="C235">
        <f t="shared" ref="C235:C284" si="19">B235+C234</f>
        <v>40.784319641898563</v>
      </c>
      <c r="D235">
        <f t="shared" si="15"/>
        <v>41</v>
      </c>
      <c r="E235" s="87"/>
      <c r="I235">
        <f t="shared" si="16"/>
        <v>40.783999999999999</v>
      </c>
      <c r="J235" s="57">
        <f t="shared" si="18"/>
        <v>0.3089999999999975</v>
      </c>
    </row>
    <row r="236" spans="1:10">
      <c r="A236">
        <v>152</v>
      </c>
      <c r="B236">
        <v>4.0972206731719231E-2</v>
      </c>
      <c r="C236">
        <f t="shared" si="19"/>
        <v>40.825291848630279</v>
      </c>
      <c r="D236">
        <f t="shared" si="15"/>
        <v>41</v>
      </c>
      <c r="E236" s="87"/>
      <c r="I236">
        <f t="shared" si="16"/>
        <v>40.825000000000003</v>
      </c>
      <c r="J236" s="57">
        <f t="shared" si="18"/>
        <v>4.1000000000003922E-2</v>
      </c>
    </row>
    <row r="237" spans="1:10">
      <c r="A237">
        <v>153</v>
      </c>
      <c r="B237">
        <v>2.6776481438094274E-2</v>
      </c>
      <c r="C237">
        <f t="shared" si="19"/>
        <v>40.85206833006837</v>
      </c>
      <c r="D237">
        <f t="shared" si="15"/>
        <v>41</v>
      </c>
      <c r="E237" s="88"/>
      <c r="I237">
        <f t="shared" si="16"/>
        <v>40.851999999999997</v>
      </c>
      <c r="J237" s="57">
        <f t="shared" si="18"/>
        <v>2.6999999999993918E-2</v>
      </c>
    </row>
    <row r="238" spans="1:10">
      <c r="A238">
        <v>154</v>
      </c>
      <c r="B238">
        <v>0.96560890826070345</v>
      </c>
      <c r="C238">
        <f t="shared" si="19"/>
        <v>41.817677238329075</v>
      </c>
      <c r="D238">
        <f t="shared" si="15"/>
        <v>42</v>
      </c>
      <c r="E238" s="86">
        <v>3</v>
      </c>
      <c r="I238">
        <f t="shared" si="16"/>
        <v>41.817999999999998</v>
      </c>
      <c r="J238" s="57">
        <f t="shared" si="18"/>
        <v>0.96600000000000108</v>
      </c>
    </row>
    <row r="239" spans="1:10">
      <c r="A239">
        <v>155</v>
      </c>
      <c r="B239">
        <v>2.6678488973245876E-2</v>
      </c>
      <c r="C239">
        <f t="shared" si="19"/>
        <v>41.844355727302322</v>
      </c>
      <c r="D239">
        <f t="shared" si="15"/>
        <v>42</v>
      </c>
      <c r="E239" s="87"/>
      <c r="I239">
        <f t="shared" si="16"/>
        <v>41.844000000000001</v>
      </c>
      <c r="J239" s="57">
        <f t="shared" si="18"/>
        <v>2.6000000000003354E-2</v>
      </c>
    </row>
    <row r="240" spans="1:10">
      <c r="A240">
        <v>156</v>
      </c>
      <c r="B240">
        <v>1.2262609198567634E-2</v>
      </c>
      <c r="C240">
        <f t="shared" si="19"/>
        <v>41.856618336500887</v>
      </c>
      <c r="D240">
        <f t="shared" si="15"/>
        <v>42</v>
      </c>
      <c r="E240" s="88"/>
      <c r="I240">
        <f t="shared" si="16"/>
        <v>41.856999999999999</v>
      </c>
      <c r="J240" s="57">
        <f t="shared" si="18"/>
        <v>1.2999999999998124E-2</v>
      </c>
    </row>
    <row r="241" spans="1:10">
      <c r="A241">
        <v>157</v>
      </c>
      <c r="B241">
        <v>0.64588414679570649</v>
      </c>
      <c r="C241">
        <f t="shared" si="19"/>
        <v>42.502502483296595</v>
      </c>
      <c r="D241">
        <f t="shared" si="15"/>
        <v>43</v>
      </c>
      <c r="E241" s="86">
        <v>2</v>
      </c>
      <c r="I241">
        <f t="shared" si="16"/>
        <v>42.503</v>
      </c>
      <c r="J241" s="57">
        <f t="shared" si="18"/>
        <v>0.6460000000000008</v>
      </c>
    </row>
    <row r="242" spans="1:10">
      <c r="A242">
        <v>158</v>
      </c>
      <c r="B242">
        <v>0.43208023096441911</v>
      </c>
      <c r="C242">
        <f t="shared" si="19"/>
        <v>42.934582714261012</v>
      </c>
      <c r="D242">
        <f t="shared" si="15"/>
        <v>43</v>
      </c>
      <c r="E242" s="88"/>
      <c r="I242">
        <f t="shared" si="16"/>
        <v>42.935000000000002</v>
      </c>
      <c r="J242" s="57">
        <f t="shared" si="18"/>
        <v>0.43200000000000216</v>
      </c>
    </row>
    <row r="243" spans="1:10">
      <c r="A243">
        <v>159</v>
      </c>
      <c r="B243">
        <v>0.5553607865349276</v>
      </c>
      <c r="C243">
        <f t="shared" si="19"/>
        <v>43.489943500795938</v>
      </c>
      <c r="D243">
        <f t="shared" si="15"/>
        <v>44</v>
      </c>
      <c r="E243" s="86">
        <v>4</v>
      </c>
      <c r="I243">
        <f t="shared" si="16"/>
        <v>43.49</v>
      </c>
      <c r="J243" s="57">
        <f t="shared" si="18"/>
        <v>0.55499999999999972</v>
      </c>
    </row>
    <row r="244" spans="1:10">
      <c r="A244">
        <v>160</v>
      </c>
      <c r="B244">
        <v>7.8348662064069929E-2</v>
      </c>
      <c r="C244">
        <f t="shared" si="19"/>
        <v>43.568292162860011</v>
      </c>
      <c r="D244">
        <f t="shared" si="15"/>
        <v>44</v>
      </c>
      <c r="E244" s="87"/>
      <c r="I244">
        <f t="shared" si="16"/>
        <v>43.567999999999998</v>
      </c>
      <c r="J244" s="57">
        <f t="shared" si="18"/>
        <v>7.799999999999585E-2</v>
      </c>
    </row>
    <row r="245" spans="1:10">
      <c r="A245">
        <v>161</v>
      </c>
      <c r="B245">
        <v>8.1484456622297433E-2</v>
      </c>
      <c r="C245">
        <f t="shared" si="19"/>
        <v>43.64977661948231</v>
      </c>
      <c r="D245">
        <f t="shared" si="15"/>
        <v>44</v>
      </c>
      <c r="E245" s="87"/>
      <c r="I245">
        <f t="shared" si="16"/>
        <v>43.65</v>
      </c>
      <c r="J245" s="57">
        <f t="shared" si="18"/>
        <v>8.2000000000000739E-2</v>
      </c>
    </row>
    <row r="246" spans="1:10">
      <c r="A246">
        <v>162</v>
      </c>
      <c r="B246">
        <v>5.3800107832010016E-2</v>
      </c>
      <c r="C246">
        <f t="shared" si="19"/>
        <v>43.703576727314321</v>
      </c>
      <c r="D246">
        <f t="shared" si="15"/>
        <v>44</v>
      </c>
      <c r="E246" s="88"/>
      <c r="I246">
        <f t="shared" si="16"/>
        <v>43.704000000000001</v>
      </c>
      <c r="J246" s="57">
        <f t="shared" si="18"/>
        <v>5.4000000000002046E-2</v>
      </c>
    </row>
    <row r="247" spans="1:10">
      <c r="A247">
        <v>163</v>
      </c>
      <c r="B247">
        <v>0.38237568857522791</v>
      </c>
      <c r="C247">
        <f t="shared" si="19"/>
        <v>44.085952415889551</v>
      </c>
      <c r="D247">
        <f t="shared" si="15"/>
        <v>45</v>
      </c>
      <c r="E247" s="86">
        <v>6</v>
      </c>
      <c r="I247">
        <f t="shared" si="16"/>
        <v>44.085999999999999</v>
      </c>
      <c r="J247" s="57">
        <f t="shared" si="18"/>
        <v>0.3819999999999979</v>
      </c>
    </row>
    <row r="248" spans="1:10">
      <c r="A248">
        <v>164</v>
      </c>
      <c r="B248">
        <v>9.0796772294242475E-2</v>
      </c>
      <c r="C248">
        <f t="shared" si="19"/>
        <v>44.176749188183791</v>
      </c>
      <c r="D248">
        <f t="shared" si="15"/>
        <v>45</v>
      </c>
      <c r="E248" s="87"/>
      <c r="I248">
        <f t="shared" si="16"/>
        <v>44.177</v>
      </c>
      <c r="J248" s="57">
        <f t="shared" si="18"/>
        <v>9.100000000000108E-2</v>
      </c>
    </row>
    <row r="249" spans="1:10">
      <c r="A249">
        <v>165</v>
      </c>
      <c r="B249">
        <v>2.464452833983577E-2</v>
      </c>
      <c r="C249">
        <f t="shared" si="19"/>
        <v>44.201393716523626</v>
      </c>
      <c r="D249">
        <f t="shared" si="15"/>
        <v>45</v>
      </c>
      <c r="E249" s="87"/>
      <c r="I249">
        <f t="shared" si="16"/>
        <v>44.201000000000001</v>
      </c>
      <c r="J249" s="57">
        <f t="shared" si="18"/>
        <v>2.4000000000000909E-2</v>
      </c>
    </row>
    <row r="250" spans="1:10">
      <c r="A250">
        <v>166</v>
      </c>
      <c r="B250">
        <v>4.7525524665028879E-2</v>
      </c>
      <c r="C250">
        <f t="shared" si="19"/>
        <v>44.248919241188652</v>
      </c>
      <c r="D250">
        <f t="shared" si="15"/>
        <v>45</v>
      </c>
      <c r="E250" s="87"/>
      <c r="I250">
        <f t="shared" si="16"/>
        <v>44.249000000000002</v>
      </c>
      <c r="J250" s="57">
        <f t="shared" si="18"/>
        <v>4.8000000000001819E-2</v>
      </c>
    </row>
    <row r="251" spans="1:10">
      <c r="A251">
        <v>167</v>
      </c>
      <c r="B251">
        <v>0.53160434999818906</v>
      </c>
      <c r="C251">
        <f t="shared" si="19"/>
        <v>44.780523591186842</v>
      </c>
      <c r="D251">
        <f t="shared" si="15"/>
        <v>45</v>
      </c>
      <c r="E251" s="87"/>
      <c r="I251">
        <f t="shared" si="16"/>
        <v>44.780999999999999</v>
      </c>
      <c r="J251" s="57">
        <f t="shared" si="18"/>
        <v>0.53199999999999648</v>
      </c>
    </row>
    <row r="252" spans="1:10">
      <c r="A252">
        <v>168</v>
      </c>
      <c r="B252">
        <v>3.8661028568558876E-3</v>
      </c>
      <c r="C252">
        <f t="shared" si="19"/>
        <v>44.784389694043696</v>
      </c>
      <c r="D252">
        <f t="shared" si="15"/>
        <v>45</v>
      </c>
      <c r="E252" s="88"/>
      <c r="I252">
        <f t="shared" si="16"/>
        <v>44.783999999999999</v>
      </c>
      <c r="J252" s="57">
        <f t="shared" si="18"/>
        <v>3.0000000000001137E-3</v>
      </c>
    </row>
    <row r="253" spans="1:10">
      <c r="A253">
        <v>169</v>
      </c>
      <c r="B253">
        <v>0.84055760063743912</v>
      </c>
      <c r="C253">
        <f t="shared" si="19"/>
        <v>45.624947294681135</v>
      </c>
      <c r="D253">
        <f t="shared" si="15"/>
        <v>46</v>
      </c>
      <c r="E253" s="51">
        <v>1</v>
      </c>
      <c r="I253">
        <f t="shared" si="16"/>
        <v>45.625</v>
      </c>
      <c r="J253" s="57">
        <f t="shared" si="18"/>
        <v>0.84100000000000108</v>
      </c>
    </row>
    <row r="254" spans="1:10">
      <c r="A254">
        <v>170</v>
      </c>
      <c r="B254">
        <v>0.51699051660565776</v>
      </c>
      <c r="C254">
        <f t="shared" si="19"/>
        <v>46.141937811286795</v>
      </c>
      <c r="D254">
        <f t="shared" si="15"/>
        <v>47</v>
      </c>
      <c r="E254" s="86">
        <v>6</v>
      </c>
      <c r="I254">
        <f t="shared" si="16"/>
        <v>46.142000000000003</v>
      </c>
      <c r="J254" s="57">
        <f t="shared" si="18"/>
        <v>0.51700000000000301</v>
      </c>
    </row>
    <row r="255" spans="1:10">
      <c r="A255">
        <v>171</v>
      </c>
      <c r="B255">
        <v>0.18548017929882638</v>
      </c>
      <c r="C255">
        <f t="shared" si="19"/>
        <v>46.327417990585623</v>
      </c>
      <c r="D255">
        <f t="shared" si="15"/>
        <v>47</v>
      </c>
      <c r="E255" s="87"/>
      <c r="I255">
        <f t="shared" si="16"/>
        <v>46.326999999999998</v>
      </c>
      <c r="J255" s="57">
        <f t="shared" si="18"/>
        <v>0.18499999999999517</v>
      </c>
    </row>
    <row r="256" spans="1:10">
      <c r="A256">
        <v>172</v>
      </c>
      <c r="B256">
        <v>6.3315303758392449E-2</v>
      </c>
      <c r="C256">
        <f t="shared" si="19"/>
        <v>46.390733294344017</v>
      </c>
      <c r="D256">
        <f t="shared" si="15"/>
        <v>47</v>
      </c>
      <c r="E256" s="87"/>
      <c r="I256">
        <f t="shared" si="16"/>
        <v>46.390999999999998</v>
      </c>
      <c r="J256" s="57">
        <f t="shared" si="18"/>
        <v>6.4000000000000057E-2</v>
      </c>
    </row>
    <row r="257" spans="1:10">
      <c r="A257">
        <v>173</v>
      </c>
      <c r="B257">
        <v>0.37200513092729875</v>
      </c>
      <c r="C257">
        <f t="shared" si="19"/>
        <v>46.762738425271316</v>
      </c>
      <c r="D257">
        <f t="shared" si="15"/>
        <v>47</v>
      </c>
      <c r="E257" s="87"/>
      <c r="I257">
        <f t="shared" si="16"/>
        <v>46.762999999999998</v>
      </c>
      <c r="J257" s="57">
        <f t="shared" si="18"/>
        <v>0.37199999999999989</v>
      </c>
    </row>
    <row r="258" spans="1:10">
      <c r="A258">
        <v>174</v>
      </c>
      <c r="B258">
        <v>8.6334723922752484E-3</v>
      </c>
      <c r="C258">
        <f t="shared" si="19"/>
        <v>46.771371897663592</v>
      </c>
      <c r="D258">
        <f t="shared" si="15"/>
        <v>47</v>
      </c>
      <c r="E258" s="87"/>
      <c r="I258">
        <f t="shared" si="16"/>
        <v>46.771000000000001</v>
      </c>
      <c r="J258" s="57">
        <f t="shared" si="18"/>
        <v>8.0000000000026716E-3</v>
      </c>
    </row>
    <row r="259" spans="1:10">
      <c r="A259">
        <v>175</v>
      </c>
      <c r="B259">
        <v>0.16982037116279203</v>
      </c>
      <c r="C259">
        <f t="shared" si="19"/>
        <v>46.941192268826384</v>
      </c>
      <c r="D259">
        <f t="shared" si="15"/>
        <v>47</v>
      </c>
      <c r="E259" s="88"/>
      <c r="I259">
        <f t="shared" si="16"/>
        <v>46.941000000000003</v>
      </c>
      <c r="J259" s="57">
        <f t="shared" si="18"/>
        <v>0.17000000000000171</v>
      </c>
    </row>
    <row r="260" spans="1:10">
      <c r="A260">
        <v>176</v>
      </c>
      <c r="B260">
        <v>0.24035360020595106</v>
      </c>
      <c r="C260">
        <f t="shared" si="19"/>
        <v>47.181545869032334</v>
      </c>
      <c r="D260">
        <f t="shared" si="15"/>
        <v>48</v>
      </c>
      <c r="E260" s="86">
        <v>10</v>
      </c>
      <c r="I260">
        <f t="shared" si="16"/>
        <v>47.182000000000002</v>
      </c>
      <c r="J260" s="57">
        <f t="shared" si="18"/>
        <v>0.24099999999999966</v>
      </c>
    </row>
    <row r="261" spans="1:10">
      <c r="A261">
        <v>177</v>
      </c>
      <c r="B261">
        <v>0.22731776971063555</v>
      </c>
      <c r="C261">
        <f t="shared" si="19"/>
        <v>47.408863638742972</v>
      </c>
      <c r="D261">
        <f t="shared" si="15"/>
        <v>48</v>
      </c>
      <c r="E261" s="87"/>
      <c r="I261">
        <f t="shared" si="16"/>
        <v>47.408999999999999</v>
      </c>
      <c r="J261" s="57">
        <f t="shared" si="18"/>
        <v>0.22699999999999676</v>
      </c>
    </row>
    <row r="262" spans="1:10">
      <c r="A262">
        <v>178</v>
      </c>
      <c r="B262">
        <v>7.5195845549704985E-3</v>
      </c>
      <c r="C262">
        <f t="shared" si="19"/>
        <v>47.416383223297942</v>
      </c>
      <c r="D262">
        <f t="shared" si="15"/>
        <v>48</v>
      </c>
      <c r="E262" s="87"/>
      <c r="I262">
        <f t="shared" si="16"/>
        <v>47.415999999999997</v>
      </c>
      <c r="J262" s="57">
        <f t="shared" si="18"/>
        <v>6.9999999999978968E-3</v>
      </c>
    </row>
    <row r="263" spans="1:10">
      <c r="A263">
        <v>179</v>
      </c>
      <c r="B263">
        <v>4.3715356649019703E-2</v>
      </c>
      <c r="C263">
        <f t="shared" si="19"/>
        <v>47.460098579946958</v>
      </c>
      <c r="D263">
        <f t="shared" si="15"/>
        <v>48</v>
      </c>
      <c r="E263" s="87"/>
      <c r="I263">
        <f t="shared" si="16"/>
        <v>47.46</v>
      </c>
      <c r="J263" s="57">
        <f t="shared" si="18"/>
        <v>4.4000000000004036E-2</v>
      </c>
    </row>
    <row r="264" spans="1:10">
      <c r="A264">
        <v>180</v>
      </c>
      <c r="B264">
        <v>6.5712808639985798E-2</v>
      </c>
      <c r="C264">
        <f t="shared" si="19"/>
        <v>47.525811388586945</v>
      </c>
      <c r="D264">
        <f t="shared" si="15"/>
        <v>48</v>
      </c>
      <c r="E264" s="87"/>
      <c r="I264">
        <f t="shared" si="16"/>
        <v>47.526000000000003</v>
      </c>
      <c r="J264" s="57">
        <f t="shared" si="18"/>
        <v>6.6000000000002501E-2</v>
      </c>
    </row>
    <row r="265" spans="1:10">
      <c r="A265">
        <v>181</v>
      </c>
      <c r="B265">
        <v>0.10523957874898938</v>
      </c>
      <c r="C265">
        <f t="shared" si="19"/>
        <v>47.631050967335938</v>
      </c>
      <c r="D265">
        <f t="shared" si="15"/>
        <v>48</v>
      </c>
      <c r="E265" s="87"/>
      <c r="I265">
        <f t="shared" si="16"/>
        <v>47.631</v>
      </c>
      <c r="J265" s="57">
        <f t="shared" si="18"/>
        <v>0.10499999999999687</v>
      </c>
    </row>
    <row r="266" spans="1:10">
      <c r="A266">
        <v>182</v>
      </c>
      <c r="B266">
        <v>4.6018387642445868E-2</v>
      </c>
      <c r="C266">
        <f t="shared" si="19"/>
        <v>47.677069354978386</v>
      </c>
      <c r="D266">
        <f t="shared" si="15"/>
        <v>48</v>
      </c>
      <c r="E266" s="87"/>
      <c r="I266">
        <f t="shared" si="16"/>
        <v>47.677</v>
      </c>
      <c r="J266" s="57">
        <f t="shared" si="18"/>
        <v>4.5999999999999375E-2</v>
      </c>
    </row>
    <row r="267" spans="1:10">
      <c r="A267">
        <v>183</v>
      </c>
      <c r="B267">
        <v>7.4813231732752769E-2</v>
      </c>
      <c r="C267">
        <f t="shared" si="19"/>
        <v>47.75188258671114</v>
      </c>
      <c r="D267">
        <f t="shared" si="15"/>
        <v>48</v>
      </c>
      <c r="E267" s="87"/>
      <c r="I267">
        <f t="shared" si="16"/>
        <v>47.752000000000002</v>
      </c>
      <c r="J267" s="57">
        <f t="shared" si="18"/>
        <v>7.5000000000002842E-2</v>
      </c>
    </row>
    <row r="268" spans="1:10">
      <c r="A268">
        <v>184</v>
      </c>
      <c r="B268">
        <v>2.0666696464340977E-2</v>
      </c>
      <c r="C268">
        <f t="shared" si="19"/>
        <v>47.772549283175479</v>
      </c>
      <c r="D268">
        <f t="shared" si="15"/>
        <v>48</v>
      </c>
      <c r="E268" s="87"/>
      <c r="I268">
        <f t="shared" si="16"/>
        <v>47.773000000000003</v>
      </c>
      <c r="J268" s="57">
        <f t="shared" si="18"/>
        <v>2.1000000000000796E-2</v>
      </c>
    </row>
    <row r="269" spans="1:10">
      <c r="A269">
        <v>185</v>
      </c>
      <c r="B269">
        <v>0.19780971937515568</v>
      </c>
      <c r="C269">
        <f t="shared" si="19"/>
        <v>47.970359002550637</v>
      </c>
      <c r="D269">
        <f t="shared" si="15"/>
        <v>48</v>
      </c>
      <c r="E269" s="88"/>
      <c r="I269">
        <f t="shared" si="16"/>
        <v>47.97</v>
      </c>
      <c r="J269" s="57">
        <f t="shared" si="18"/>
        <v>0.19699999999999562</v>
      </c>
    </row>
    <row r="270" spans="1:10">
      <c r="A270">
        <v>186</v>
      </c>
      <c r="B270">
        <v>0.31564069590182253</v>
      </c>
      <c r="C270">
        <f t="shared" si="19"/>
        <v>48.285999698452457</v>
      </c>
      <c r="D270">
        <f t="shared" si="15"/>
        <v>49</v>
      </c>
      <c r="E270" s="86">
        <v>5</v>
      </c>
      <c r="I270">
        <f t="shared" si="16"/>
        <v>48.286000000000001</v>
      </c>
      <c r="J270" s="57">
        <f t="shared" si="18"/>
        <v>0.3160000000000025</v>
      </c>
    </row>
    <row r="271" spans="1:10">
      <c r="A271">
        <v>187</v>
      </c>
      <c r="B271">
        <v>2.1716183113296789E-2</v>
      </c>
      <c r="C271">
        <f t="shared" si="19"/>
        <v>48.307715881565755</v>
      </c>
      <c r="D271">
        <f t="shared" si="15"/>
        <v>49</v>
      </c>
      <c r="E271" s="87"/>
      <c r="I271">
        <f t="shared" si="16"/>
        <v>48.308</v>
      </c>
      <c r="J271" s="57">
        <f t="shared" si="18"/>
        <v>2.1999999999998465E-2</v>
      </c>
    </row>
    <row r="272" spans="1:10">
      <c r="A272">
        <v>188</v>
      </c>
      <c r="B272">
        <v>5.5085223198912743E-2</v>
      </c>
      <c r="C272">
        <f t="shared" si="19"/>
        <v>48.362801104764671</v>
      </c>
      <c r="D272">
        <f t="shared" si="15"/>
        <v>49</v>
      </c>
      <c r="E272" s="87"/>
      <c r="I272">
        <f t="shared" si="16"/>
        <v>48.363</v>
      </c>
      <c r="J272" s="57">
        <f t="shared" si="18"/>
        <v>5.4999999999999716E-2</v>
      </c>
    </row>
    <row r="273" spans="1:10">
      <c r="A273">
        <v>189</v>
      </c>
      <c r="B273">
        <v>0.30055460029812614</v>
      </c>
      <c r="C273">
        <f t="shared" si="19"/>
        <v>48.663355705062799</v>
      </c>
      <c r="D273">
        <f t="shared" si="15"/>
        <v>49</v>
      </c>
      <c r="E273" s="87"/>
      <c r="I273">
        <f t="shared" si="16"/>
        <v>48.662999999999997</v>
      </c>
      <c r="J273" s="57">
        <f t="shared" si="18"/>
        <v>0.29999999999999716</v>
      </c>
    </row>
    <row r="274" spans="1:10">
      <c r="A274">
        <v>190</v>
      </c>
      <c r="B274">
        <v>8.0843454875144369E-2</v>
      </c>
      <c r="C274">
        <f t="shared" si="19"/>
        <v>48.744199159937942</v>
      </c>
      <c r="D274">
        <f t="shared" si="15"/>
        <v>49</v>
      </c>
      <c r="E274" s="88"/>
      <c r="I274">
        <f t="shared" si="16"/>
        <v>48.744</v>
      </c>
      <c r="J274" s="57">
        <f t="shared" si="18"/>
        <v>8.100000000000307E-2</v>
      </c>
    </row>
    <row r="275" spans="1:10">
      <c r="A275">
        <v>191</v>
      </c>
      <c r="B275">
        <v>0.9538603328006976</v>
      </c>
      <c r="C275">
        <f t="shared" si="19"/>
        <v>49.698059492738636</v>
      </c>
      <c r="D275">
        <f t="shared" si="15"/>
        <v>50</v>
      </c>
      <c r="E275" s="86">
        <v>4</v>
      </c>
      <c r="I275">
        <f t="shared" si="16"/>
        <v>49.698</v>
      </c>
      <c r="J275" s="57">
        <f t="shared" si="18"/>
        <v>0.95400000000000063</v>
      </c>
    </row>
    <row r="276" spans="1:10">
      <c r="A276">
        <v>192</v>
      </c>
      <c r="B276">
        <v>8.9888428374901214E-2</v>
      </c>
      <c r="C276">
        <f t="shared" si="19"/>
        <v>49.787947921113535</v>
      </c>
      <c r="D276">
        <f t="shared" si="15"/>
        <v>50</v>
      </c>
      <c r="E276" s="87"/>
      <c r="I276">
        <f t="shared" si="16"/>
        <v>49.787999999999997</v>
      </c>
      <c r="J276" s="57">
        <f t="shared" si="18"/>
        <v>8.9999999999996305E-2</v>
      </c>
    </row>
    <row r="277" spans="1:10">
      <c r="A277">
        <v>193</v>
      </c>
      <c r="B277">
        <v>3.3359044191733763E-3</v>
      </c>
      <c r="C277">
        <f t="shared" si="19"/>
        <v>49.791283825532709</v>
      </c>
      <c r="D277">
        <f t="shared" si="15"/>
        <v>50</v>
      </c>
      <c r="E277" s="87"/>
      <c r="I277">
        <f t="shared" si="16"/>
        <v>49.790999999999997</v>
      </c>
      <c r="J277" s="57">
        <f t="shared" si="18"/>
        <v>3.0000000000001137E-3</v>
      </c>
    </row>
    <row r="278" spans="1:10">
      <c r="A278">
        <v>194</v>
      </c>
      <c r="B278">
        <v>5.0353750411803656E-2</v>
      </c>
      <c r="C278">
        <f t="shared" si="19"/>
        <v>49.84163757594451</v>
      </c>
      <c r="D278">
        <f t="shared" ref="D278:D284" si="20" xml:space="preserve"> ROUNDUP(C278,0)</f>
        <v>50</v>
      </c>
      <c r="E278" s="88"/>
      <c r="I278">
        <f t="shared" ref="I278:I284" si="21">ROUND(C278,3)</f>
        <v>49.841999999999999</v>
      </c>
      <c r="J278" s="57">
        <f t="shared" si="18"/>
        <v>5.1000000000001933E-2</v>
      </c>
    </row>
    <row r="279" spans="1:10">
      <c r="A279">
        <v>195</v>
      </c>
      <c r="B279">
        <v>0.85696124705938859</v>
      </c>
      <c r="C279">
        <f t="shared" si="19"/>
        <v>50.698598823003898</v>
      </c>
      <c r="D279">
        <f t="shared" si="20"/>
        <v>51</v>
      </c>
      <c r="E279" s="86">
        <v>6</v>
      </c>
      <c r="I279">
        <f t="shared" si="21"/>
        <v>50.698999999999998</v>
      </c>
      <c r="J279" s="57">
        <f t="shared" ref="J279:J284" si="22">I279-I278</f>
        <v>0.85699999999999932</v>
      </c>
    </row>
    <row r="280" spans="1:10">
      <c r="A280">
        <v>196</v>
      </c>
      <c r="B280">
        <v>3.1241556773809288E-2</v>
      </c>
      <c r="C280">
        <f t="shared" si="19"/>
        <v>50.729840379777706</v>
      </c>
      <c r="D280">
        <f t="shared" si="20"/>
        <v>51</v>
      </c>
      <c r="E280" s="87"/>
      <c r="I280">
        <f t="shared" si="21"/>
        <v>50.73</v>
      </c>
      <c r="J280" s="57">
        <f t="shared" si="22"/>
        <v>3.0999999999998806E-2</v>
      </c>
    </row>
    <row r="281" spans="1:10">
      <c r="A281">
        <v>197</v>
      </c>
      <c r="B281">
        <v>0.12890033800452153</v>
      </c>
      <c r="C281">
        <f t="shared" si="19"/>
        <v>50.858740717782226</v>
      </c>
      <c r="D281">
        <f t="shared" si="20"/>
        <v>51</v>
      </c>
      <c r="E281" s="87"/>
      <c r="I281">
        <f t="shared" si="21"/>
        <v>50.859000000000002</v>
      </c>
      <c r="J281" s="57">
        <f t="shared" si="22"/>
        <v>0.12900000000000489</v>
      </c>
    </row>
    <row r="282" spans="1:10">
      <c r="A282">
        <v>198</v>
      </c>
      <c r="B282">
        <v>0.11014801368822039</v>
      </c>
      <c r="C282">
        <f t="shared" si="19"/>
        <v>50.968888731470443</v>
      </c>
      <c r="D282">
        <f t="shared" si="20"/>
        <v>51</v>
      </c>
      <c r="E282" s="87"/>
      <c r="I282">
        <f t="shared" si="21"/>
        <v>50.969000000000001</v>
      </c>
      <c r="J282" s="57">
        <f t="shared" si="22"/>
        <v>0.10999999999999943</v>
      </c>
    </row>
    <row r="283" spans="1:10">
      <c r="A283">
        <v>199</v>
      </c>
      <c r="B283">
        <v>2.2882113566330693E-2</v>
      </c>
      <c r="C283">
        <f t="shared" si="19"/>
        <v>50.991770845036775</v>
      </c>
      <c r="D283">
        <f t="shared" si="20"/>
        <v>51</v>
      </c>
      <c r="E283" s="87"/>
      <c r="I283">
        <f t="shared" si="21"/>
        <v>50.991999999999997</v>
      </c>
      <c r="J283" s="57">
        <f t="shared" si="22"/>
        <v>2.2999999999996135E-2</v>
      </c>
    </row>
    <row r="284" spans="1:10">
      <c r="A284">
        <v>200</v>
      </c>
      <c r="B284">
        <v>9.6178633870614056E-4</v>
      </c>
      <c r="C284">
        <f t="shared" si="19"/>
        <v>50.992732631375482</v>
      </c>
      <c r="D284">
        <f t="shared" si="20"/>
        <v>51</v>
      </c>
      <c r="E284" s="88"/>
      <c r="I284">
        <f t="shared" si="21"/>
        <v>50.993000000000002</v>
      </c>
      <c r="J284" s="57">
        <f t="shared" si="22"/>
        <v>1.0000000000047748E-3</v>
      </c>
    </row>
  </sheetData>
  <mergeCells count="46">
    <mergeCell ref="E270:E274"/>
    <mergeCell ref="E275:E278"/>
    <mergeCell ref="E279:E284"/>
    <mergeCell ref="E232:E237"/>
    <mergeCell ref="E238:E240"/>
    <mergeCell ref="E241:E242"/>
    <mergeCell ref="E243:E246"/>
    <mergeCell ref="E247:E252"/>
    <mergeCell ref="E254:E259"/>
    <mergeCell ref="E218:E222"/>
    <mergeCell ref="E223:E226"/>
    <mergeCell ref="E227:E231"/>
    <mergeCell ref="E260:E269"/>
    <mergeCell ref="E200:E206"/>
    <mergeCell ref="E207:E209"/>
    <mergeCell ref="E210:E214"/>
    <mergeCell ref="E215:E217"/>
    <mergeCell ref="E184:E186"/>
    <mergeCell ref="E187:E190"/>
    <mergeCell ref="E192:E196"/>
    <mergeCell ref="E197:E198"/>
    <mergeCell ref="E165:E169"/>
    <mergeCell ref="E170:E174"/>
    <mergeCell ref="E176:E180"/>
    <mergeCell ref="E181:E183"/>
    <mergeCell ref="E145:E148"/>
    <mergeCell ref="E149:E154"/>
    <mergeCell ref="E155:E158"/>
    <mergeCell ref="E159:E164"/>
    <mergeCell ref="E128:E129"/>
    <mergeCell ref="E130:E131"/>
    <mergeCell ref="E132:E134"/>
    <mergeCell ref="E137:E144"/>
    <mergeCell ref="E135:E136"/>
    <mergeCell ref="E117:E120"/>
    <mergeCell ref="E121:E124"/>
    <mergeCell ref="E125:E127"/>
    <mergeCell ref="E96:E97"/>
    <mergeCell ref="E98:E102"/>
    <mergeCell ref="E103:E106"/>
    <mergeCell ref="E107:E111"/>
    <mergeCell ref="E85:E87"/>
    <mergeCell ref="E88:E90"/>
    <mergeCell ref="E91:E93"/>
    <mergeCell ref="E94:E95"/>
    <mergeCell ref="E112:E116"/>
  </mergeCells>
  <phoneticPr fontId="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N97"/>
  <sheetViews>
    <sheetView topLeftCell="A11" zoomScale="105" zoomScaleNormal="150" workbookViewId="0">
      <selection activeCell="M14" sqref="M14"/>
    </sheetView>
  </sheetViews>
  <sheetFormatPr baseColWidth="10" defaultRowHeight="13.2"/>
  <cols>
    <col min="1" max="2" width="14.44140625" customWidth="1"/>
    <col min="3" max="3" width="5" customWidth="1"/>
    <col min="4" max="4" width="17" customWidth="1"/>
    <col min="5" max="5" width="15.6640625" customWidth="1"/>
    <col min="6" max="6" width="7.44140625" customWidth="1"/>
    <col min="7" max="7" width="18.44140625" customWidth="1"/>
    <col min="9" max="9" width="12.6640625" customWidth="1"/>
    <col min="10" max="10" width="13.6640625" customWidth="1"/>
  </cols>
  <sheetData>
    <row r="1" spans="1:10" ht="17.399999999999999">
      <c r="A1" s="105" t="s">
        <v>67</v>
      </c>
      <c r="B1" s="105"/>
      <c r="C1" s="105"/>
      <c r="D1" s="105"/>
      <c r="E1" s="105"/>
      <c r="F1" s="105"/>
      <c r="G1" s="105"/>
      <c r="H1" s="105"/>
      <c r="I1" s="105"/>
      <c r="J1" s="105"/>
    </row>
    <row r="3" spans="1:10">
      <c r="A3" s="29" t="s">
        <v>66</v>
      </c>
      <c r="B3" s="29" t="s">
        <v>65</v>
      </c>
    </row>
    <row r="4" spans="1:10">
      <c r="A4" s="30">
        <f>NORMSINV(B4)</f>
        <v>-3.0902323061678132</v>
      </c>
      <c r="B4" s="31">
        <v>1E-3</v>
      </c>
    </row>
    <row r="5" spans="1:10">
      <c r="A5" s="30">
        <f t="shared" ref="A5:A26" si="0">NORMSINV(B5)</f>
        <v>-1.9599639845400538</v>
      </c>
      <c r="B5" s="32">
        <v>2.5000000000000001E-2</v>
      </c>
    </row>
    <row r="6" spans="1:10">
      <c r="A6" s="30">
        <f t="shared" si="0"/>
        <v>-1.6448536269514726</v>
      </c>
      <c r="B6" s="32">
        <v>0.05</v>
      </c>
    </row>
    <row r="7" spans="1:10">
      <c r="A7" s="30">
        <f t="shared" si="0"/>
        <v>-1.2815515655446006</v>
      </c>
      <c r="B7" s="32">
        <f>B6+5%</f>
        <v>0.1</v>
      </c>
    </row>
    <row r="8" spans="1:10">
      <c r="A8" s="30">
        <f t="shared" si="0"/>
        <v>-1.0364333894937898</v>
      </c>
      <c r="B8" s="32">
        <f t="shared" ref="B8:B24" si="1">B7+5%</f>
        <v>0.15000000000000002</v>
      </c>
    </row>
    <row r="9" spans="1:10">
      <c r="A9" s="30">
        <f t="shared" si="0"/>
        <v>-0.84162123357291452</v>
      </c>
      <c r="B9" s="32">
        <f t="shared" si="1"/>
        <v>0.2</v>
      </c>
    </row>
    <row r="10" spans="1:10">
      <c r="A10" s="30">
        <f t="shared" si="0"/>
        <v>-0.67448975019608193</v>
      </c>
      <c r="B10" s="32">
        <f t="shared" si="1"/>
        <v>0.25</v>
      </c>
    </row>
    <row r="11" spans="1:10">
      <c r="A11" s="30">
        <f t="shared" si="0"/>
        <v>-0.52440051270804089</v>
      </c>
      <c r="B11" s="32">
        <f t="shared" si="1"/>
        <v>0.3</v>
      </c>
    </row>
    <row r="12" spans="1:10">
      <c r="A12" s="30">
        <f t="shared" si="0"/>
        <v>-0.38532046640756784</v>
      </c>
      <c r="B12" s="32">
        <f t="shared" si="1"/>
        <v>0.35</v>
      </c>
    </row>
    <row r="13" spans="1:10">
      <c r="A13" s="30">
        <f t="shared" si="0"/>
        <v>-0.25334710313579989</v>
      </c>
      <c r="B13" s="32">
        <f t="shared" si="1"/>
        <v>0.39999999999999997</v>
      </c>
    </row>
    <row r="14" spans="1:10">
      <c r="A14" s="30">
        <f t="shared" si="0"/>
        <v>-0.12566134685507416</v>
      </c>
      <c r="B14" s="32">
        <f t="shared" si="1"/>
        <v>0.44999999999999996</v>
      </c>
    </row>
    <row r="15" spans="1:10">
      <c r="A15" s="30">
        <f t="shared" si="0"/>
        <v>-1.3914582123358836E-16</v>
      </c>
      <c r="B15" s="32">
        <f t="shared" si="1"/>
        <v>0.49999999999999994</v>
      </c>
    </row>
    <row r="16" spans="1:10">
      <c r="A16" s="30">
        <f t="shared" si="0"/>
        <v>0.12566134685507385</v>
      </c>
      <c r="B16" s="32">
        <f t="shared" si="1"/>
        <v>0.54999999999999993</v>
      </c>
    </row>
    <row r="17" spans="1:9">
      <c r="A17" s="30">
        <f t="shared" si="0"/>
        <v>0.25334710313579978</v>
      </c>
      <c r="B17" s="32">
        <f t="shared" si="1"/>
        <v>0.6</v>
      </c>
    </row>
    <row r="18" spans="1:9">
      <c r="A18" s="30">
        <f t="shared" si="0"/>
        <v>0.38532046640756784</v>
      </c>
      <c r="B18" s="32">
        <f t="shared" si="1"/>
        <v>0.65</v>
      </c>
    </row>
    <row r="19" spans="1:9">
      <c r="A19" s="30">
        <f t="shared" si="0"/>
        <v>0.524400512708041</v>
      </c>
      <c r="B19" s="32">
        <f t="shared" si="1"/>
        <v>0.70000000000000007</v>
      </c>
    </row>
    <row r="20" spans="1:9">
      <c r="A20" s="30">
        <f t="shared" si="0"/>
        <v>0.67448975019608215</v>
      </c>
      <c r="B20" s="32">
        <f t="shared" si="1"/>
        <v>0.75000000000000011</v>
      </c>
    </row>
    <row r="21" spans="1:9">
      <c r="A21" s="30">
        <f t="shared" si="0"/>
        <v>0.84162123357291396</v>
      </c>
      <c r="B21" s="32">
        <f t="shared" si="1"/>
        <v>0.80000000000000016</v>
      </c>
    </row>
    <row r="22" spans="1:9" ht="17.399999999999999">
      <c r="A22" s="35">
        <f t="shared" si="0"/>
        <v>1.0364333894937894</v>
      </c>
      <c r="B22" s="34">
        <f t="shared" si="1"/>
        <v>0.8500000000000002</v>
      </c>
    </row>
    <row r="23" spans="1:9">
      <c r="A23" s="30">
        <f t="shared" si="0"/>
        <v>1.2815515655446028</v>
      </c>
      <c r="B23" s="32">
        <f t="shared" si="1"/>
        <v>0.90000000000000024</v>
      </c>
    </row>
    <row r="24" spans="1:9">
      <c r="A24" s="30">
        <f t="shared" si="0"/>
        <v>1.6448536269514753</v>
      </c>
      <c r="B24" s="32">
        <f t="shared" si="1"/>
        <v>0.95000000000000029</v>
      </c>
    </row>
    <row r="25" spans="1:9">
      <c r="A25" s="30">
        <f t="shared" si="0"/>
        <v>2.3263478740408532</v>
      </c>
      <c r="B25" s="32">
        <f>B24+4%</f>
        <v>0.99000000000000032</v>
      </c>
    </row>
    <row r="26" spans="1:9">
      <c r="A26" s="30">
        <f t="shared" si="0"/>
        <v>3.0902323061678132</v>
      </c>
      <c r="B26" s="33">
        <v>0.999</v>
      </c>
    </row>
    <row r="27" spans="1:9">
      <c r="A27" s="28"/>
    </row>
    <row r="28" spans="1:9">
      <c r="A28" s="28"/>
    </row>
    <row r="29" spans="1:9" s="37" customFormat="1">
      <c r="A29" s="36"/>
    </row>
    <row r="30" spans="1:9" ht="20.399999999999999">
      <c r="A30" s="107" t="s">
        <v>68</v>
      </c>
      <c r="B30" s="107"/>
      <c r="C30" s="107"/>
      <c r="D30" s="107"/>
      <c r="E30" s="107"/>
      <c r="F30" s="107"/>
      <c r="G30" s="107"/>
      <c r="H30" s="107"/>
      <c r="I30" s="107"/>
    </row>
    <row r="33" spans="1:12" ht="12.75" customHeight="1">
      <c r="A33" s="98" t="s">
        <v>43</v>
      </c>
      <c r="B33" s="98"/>
      <c r="G33" s="106" t="s">
        <v>54</v>
      </c>
      <c r="H33" s="106"/>
      <c r="I33" s="106"/>
    </row>
    <row r="34" spans="1:12" ht="25.5" customHeight="1">
      <c r="A34" s="103"/>
      <c r="B34" s="104"/>
      <c r="D34" s="5" t="s">
        <v>44</v>
      </c>
      <c r="E34" s="5" t="s">
        <v>45</v>
      </c>
      <c r="F34" s="23"/>
      <c r="G34" s="106"/>
      <c r="H34" s="106"/>
      <c r="I34" s="106"/>
    </row>
    <row r="35" spans="1:12">
      <c r="A35" s="2">
        <v>2.5000000000000001E-2</v>
      </c>
      <c r="B35" s="1">
        <f>NORMINV(A35,0,1)</f>
        <v>-1.9599639845400538</v>
      </c>
      <c r="D35" s="6">
        <f ca="1">RAND()</f>
        <v>0.81817987357285915</v>
      </c>
      <c r="E35" s="7">
        <f ca="1">NORMINV(D35,0,1)</f>
        <v>0.90845050423779916</v>
      </c>
      <c r="F35" s="24"/>
    </row>
    <row r="36" spans="1:12">
      <c r="A36" s="2">
        <v>0.05</v>
      </c>
      <c r="B36" s="1">
        <f t="shared" ref="B36:B42" si="2">NORMINV(A36,0,1)</f>
        <v>-1.6448536269514726</v>
      </c>
    </row>
    <row r="37" spans="1:12">
      <c r="A37" s="2">
        <v>0.1</v>
      </c>
      <c r="B37" s="1">
        <f t="shared" si="2"/>
        <v>-1.2815515655446006</v>
      </c>
    </row>
    <row r="38" spans="1:12">
      <c r="A38" s="2">
        <v>0.3</v>
      </c>
      <c r="B38" s="1">
        <f t="shared" si="2"/>
        <v>-0.52440051270804089</v>
      </c>
    </row>
    <row r="39" spans="1:12">
      <c r="A39" s="2">
        <v>0.6</v>
      </c>
      <c r="B39" s="1">
        <f t="shared" si="2"/>
        <v>0.25334710313579978</v>
      </c>
    </row>
    <row r="40" spans="1:12">
      <c r="A40" s="2">
        <v>0.9</v>
      </c>
      <c r="B40" s="1">
        <f t="shared" si="2"/>
        <v>1.2815515655446006</v>
      </c>
    </row>
    <row r="41" spans="1:12">
      <c r="A41" s="2">
        <v>0.95</v>
      </c>
      <c r="B41" s="1">
        <f t="shared" si="2"/>
        <v>1.6448536269514715</v>
      </c>
    </row>
    <row r="42" spans="1:12">
      <c r="A42" s="2">
        <v>0.97499999999999998</v>
      </c>
      <c r="B42" s="1">
        <f t="shared" si="2"/>
        <v>1.9599639845400536</v>
      </c>
    </row>
    <row r="44" spans="1:12" ht="28.5" customHeight="1">
      <c r="A44" s="99" t="s">
        <v>63</v>
      </c>
      <c r="B44" s="100"/>
    </row>
    <row r="45" spans="1:12" ht="27" customHeight="1">
      <c r="A45" s="101"/>
      <c r="B45" s="102"/>
      <c r="D45" s="8" t="s">
        <v>44</v>
      </c>
      <c r="E45" s="8" t="s">
        <v>46</v>
      </c>
      <c r="F45" s="23"/>
      <c r="G45" s="26" t="s">
        <v>64</v>
      </c>
      <c r="I45" s="108" t="s">
        <v>69</v>
      </c>
      <c r="J45" s="108"/>
      <c r="K45" s="108"/>
      <c r="L45" s="108"/>
    </row>
    <row r="46" spans="1:12">
      <c r="A46" s="3">
        <v>2.5000000000000001E-2</v>
      </c>
      <c r="B46" s="4">
        <f>NORMINV(A46,1.75,0.07)</f>
        <v>1.6128025210821961</v>
      </c>
      <c r="D46" s="10">
        <f ca="1">RAND()</f>
        <v>0.73641384990909209</v>
      </c>
      <c r="E46" s="9">
        <f ca="1">NORMINV(D46,1.75,0.07)</f>
        <v>1.7942629890026229</v>
      </c>
      <c r="F46" s="25"/>
      <c r="G46" s="9">
        <f ca="1">NORMINV(RAND(),1.75,0.07)</f>
        <v>1.7227181787087449</v>
      </c>
      <c r="I46" s="108"/>
      <c r="J46" s="108"/>
      <c r="K46" s="108"/>
      <c r="L46" s="108"/>
    </row>
    <row r="47" spans="1:12">
      <c r="A47" s="3">
        <v>0.05</v>
      </c>
      <c r="B47" s="4">
        <f t="shared" ref="B47:B53" si="3">NORMINV(A47,1.75,0.07)</f>
        <v>1.634860246113397</v>
      </c>
      <c r="D47" s="10">
        <f t="shared" ref="D47:D59" ca="1" si="4">RAND()</f>
        <v>8.3735992891491029E-2</v>
      </c>
      <c r="E47" s="9">
        <f t="shared" ref="E47:E59" ca="1" si="5">NORMINV(D47,1.75,0.07)</f>
        <v>1.6533739256711191</v>
      </c>
      <c r="F47" s="25"/>
      <c r="G47" s="9">
        <f t="shared" ref="G47:G59" ca="1" si="6">NORMINV(RAND(),1.75,0.07)</f>
        <v>1.839353705615955</v>
      </c>
      <c r="J47" s="40" t="s">
        <v>70</v>
      </c>
      <c r="K47" s="40" t="s">
        <v>71</v>
      </c>
    </row>
    <row r="48" spans="1:12">
      <c r="A48" s="3">
        <v>0.1</v>
      </c>
      <c r="B48" s="4">
        <f t="shared" si="3"/>
        <v>1.6602913904118779</v>
      </c>
      <c r="D48" s="10">
        <f t="shared" ca="1" si="4"/>
        <v>0.31375123337525357</v>
      </c>
      <c r="E48" s="9">
        <f t="shared" ca="1" si="5"/>
        <v>1.7160328403351166</v>
      </c>
      <c r="F48" s="25"/>
      <c r="G48" s="9">
        <f t="shared" ca="1" si="6"/>
        <v>1.8283730041876789</v>
      </c>
      <c r="J48" s="41">
        <v>1</v>
      </c>
      <c r="K48" s="41">
        <f t="shared" ref="K48:K59" ca="1" si="7">ROUNDUP(7593*RAND(),0)</f>
        <v>6449</v>
      </c>
    </row>
    <row r="49" spans="1:12">
      <c r="A49" s="3">
        <v>0.3</v>
      </c>
      <c r="B49" s="4">
        <f t="shared" si="3"/>
        <v>1.7132919641104372</v>
      </c>
      <c r="D49" s="10">
        <f t="shared" ca="1" si="4"/>
        <v>0.96966708462575124</v>
      </c>
      <c r="E49" s="9">
        <f t="shared" ca="1" si="5"/>
        <v>1.8813146217988419</v>
      </c>
      <c r="F49" s="25"/>
      <c r="G49" s="9">
        <f t="shared" ca="1" si="6"/>
        <v>1.6875070137800352</v>
      </c>
      <c r="J49" s="41">
        <v>2</v>
      </c>
      <c r="K49" s="41">
        <f t="shared" ca="1" si="7"/>
        <v>6405</v>
      </c>
    </row>
    <row r="50" spans="1:12">
      <c r="A50" s="3">
        <v>0.6</v>
      </c>
      <c r="B50" s="4">
        <f t="shared" si="3"/>
        <v>1.767734297219506</v>
      </c>
      <c r="D50" s="10">
        <f t="shared" ca="1" si="4"/>
        <v>0.67467912171914868</v>
      </c>
      <c r="E50" s="9">
        <f t="shared" ca="1" si="5"/>
        <v>1.7817009581139955</v>
      </c>
      <c r="F50" s="25"/>
      <c r="G50" s="9">
        <f t="shared" ca="1" si="6"/>
        <v>1.7263998419282485</v>
      </c>
      <c r="J50" s="41">
        <v>3</v>
      </c>
      <c r="K50" s="41">
        <f t="shared" ca="1" si="7"/>
        <v>4349</v>
      </c>
    </row>
    <row r="51" spans="1:12">
      <c r="A51" s="3">
        <v>0.9</v>
      </c>
      <c r="B51" s="4">
        <f t="shared" si="3"/>
        <v>1.8397086095881221</v>
      </c>
      <c r="D51" s="10">
        <f t="shared" ca="1" si="4"/>
        <v>0.65375049023916976</v>
      </c>
      <c r="E51" s="9">
        <f t="shared" ca="1" si="5"/>
        <v>1.7776826190037878</v>
      </c>
      <c r="F51" s="25"/>
      <c r="G51" s="9">
        <f t="shared" ca="1" si="6"/>
        <v>1.8011335369507007</v>
      </c>
      <c r="J51" s="41">
        <v>4</v>
      </c>
      <c r="K51" s="41">
        <f t="shared" ca="1" si="7"/>
        <v>7229</v>
      </c>
    </row>
    <row r="52" spans="1:12">
      <c r="A52" s="3">
        <v>0.95</v>
      </c>
      <c r="B52" s="4">
        <f t="shared" si="3"/>
        <v>1.865139753886603</v>
      </c>
      <c r="D52" s="10">
        <f t="shared" ca="1" si="4"/>
        <v>0.84330091894346837</v>
      </c>
      <c r="E52" s="9">
        <f t="shared" ca="1" si="5"/>
        <v>1.8205682097221181</v>
      </c>
      <c r="F52" s="25"/>
      <c r="G52" s="9">
        <f t="shared" ca="1" si="6"/>
        <v>1.7350803917282531</v>
      </c>
      <c r="J52" s="41">
        <v>5</v>
      </c>
      <c r="K52" s="41">
        <f t="shared" ca="1" si="7"/>
        <v>375</v>
      </c>
    </row>
    <row r="53" spans="1:12">
      <c r="A53" s="3">
        <v>0.97499999999999998</v>
      </c>
      <c r="B53" s="4">
        <f t="shared" si="3"/>
        <v>1.8871974789178037</v>
      </c>
      <c r="D53" s="10">
        <f t="shared" ca="1" si="4"/>
        <v>0.29287806605391398</v>
      </c>
      <c r="E53" s="9">
        <f t="shared" ca="1" si="5"/>
        <v>1.7118502660992838</v>
      </c>
      <c r="F53" s="25"/>
      <c r="G53" s="9">
        <f t="shared" ca="1" si="6"/>
        <v>1.6804080973429989</v>
      </c>
      <c r="J53" s="41">
        <v>6</v>
      </c>
      <c r="K53" s="41">
        <f t="shared" ca="1" si="7"/>
        <v>7402</v>
      </c>
    </row>
    <row r="54" spans="1:12">
      <c r="D54" s="10">
        <f t="shared" ca="1" si="4"/>
        <v>0.77820177372860233</v>
      </c>
      <c r="E54" s="9">
        <f t="shared" ca="1" si="5"/>
        <v>1.8036293943280943</v>
      </c>
      <c r="F54" s="25"/>
      <c r="G54" s="9">
        <f t="shared" ca="1" si="6"/>
        <v>1.7430702973817853</v>
      </c>
      <c r="J54" s="41">
        <v>7</v>
      </c>
      <c r="K54" s="41">
        <f t="shared" ca="1" si="7"/>
        <v>4207</v>
      </c>
    </row>
    <row r="55" spans="1:12">
      <c r="D55" s="10">
        <f t="shared" ca="1" si="4"/>
        <v>0.15695547817163624</v>
      </c>
      <c r="E55" s="9">
        <f t="shared" ca="1" si="5"/>
        <v>1.6795065304813421</v>
      </c>
      <c r="F55" s="25"/>
      <c r="G55" s="9">
        <f t="shared" ca="1" si="6"/>
        <v>1.794654171191651</v>
      </c>
      <c r="J55" s="41">
        <v>8</v>
      </c>
      <c r="K55" s="41">
        <f t="shared" ca="1" si="7"/>
        <v>1593</v>
      </c>
    </row>
    <row r="56" spans="1:12">
      <c r="D56" s="10">
        <f t="shared" ca="1" si="4"/>
        <v>0.98158658365284246</v>
      </c>
      <c r="E56" s="9">
        <f t="shared" ca="1" si="5"/>
        <v>1.8961375049554154</v>
      </c>
      <c r="F56" s="25"/>
      <c r="G56" s="9">
        <f t="shared" ca="1" si="6"/>
        <v>1.7424284840526756</v>
      </c>
      <c r="J56" s="41">
        <v>9</v>
      </c>
      <c r="K56" s="41">
        <f t="shared" ca="1" si="7"/>
        <v>7145</v>
      </c>
    </row>
    <row r="57" spans="1:12">
      <c r="D57" s="10">
        <f t="shared" ca="1" si="4"/>
        <v>0.98413841619249476</v>
      </c>
      <c r="E57" s="9">
        <f t="shared" ca="1" si="5"/>
        <v>1.9003517074468299</v>
      </c>
      <c r="F57" s="25"/>
      <c r="G57" s="9">
        <f t="shared" ca="1" si="6"/>
        <v>1.7723816048485099</v>
      </c>
      <c r="J57" s="41">
        <v>10</v>
      </c>
      <c r="K57" s="41">
        <f t="shared" ca="1" si="7"/>
        <v>2321</v>
      </c>
    </row>
    <row r="58" spans="1:12">
      <c r="D58" s="10">
        <f t="shared" ca="1" si="4"/>
        <v>0.4977894491074466</v>
      </c>
      <c r="E58" s="9">
        <f t="shared" ca="1" si="5"/>
        <v>1.7496121259592874</v>
      </c>
      <c r="F58" s="25"/>
      <c r="G58" s="9">
        <f t="shared" ca="1" si="6"/>
        <v>1.6793671137197186</v>
      </c>
      <c r="J58" s="41">
        <v>11</v>
      </c>
      <c r="K58" s="41">
        <f t="shared" ca="1" si="7"/>
        <v>7356</v>
      </c>
    </row>
    <row r="59" spans="1:12">
      <c r="D59" s="10">
        <f t="shared" ca="1" si="4"/>
        <v>0.66948049732921389</v>
      </c>
      <c r="E59" s="9">
        <f t="shared" ca="1" si="5"/>
        <v>1.7806935381682862</v>
      </c>
      <c r="F59" s="25"/>
      <c r="G59" s="9">
        <f t="shared" ca="1" si="6"/>
        <v>1.7375681632982283</v>
      </c>
      <c r="J59" s="41">
        <v>12</v>
      </c>
      <c r="K59" s="41">
        <f t="shared" ca="1" si="7"/>
        <v>5540</v>
      </c>
    </row>
    <row r="61" spans="1:12" s="37" customFormat="1"/>
    <row r="62" spans="1:12" ht="20.399999999999999">
      <c r="D62" s="107" t="s">
        <v>95</v>
      </c>
      <c r="E62" s="107"/>
      <c r="F62" s="107"/>
      <c r="G62" s="107"/>
      <c r="H62" s="107"/>
      <c r="I62" s="107"/>
      <c r="J62" s="107"/>
      <c r="K62" s="107"/>
      <c r="L62" s="107"/>
    </row>
    <row r="65" spans="9:11" ht="13.8" thickBot="1"/>
    <row r="66" spans="9:11">
      <c r="I66" s="92" t="s">
        <v>55</v>
      </c>
      <c r="J66" s="93"/>
      <c r="K66" s="94"/>
    </row>
    <row r="67" spans="9:11">
      <c r="I67" s="11" t="s">
        <v>47</v>
      </c>
      <c r="J67" s="12" t="s">
        <v>51</v>
      </c>
      <c r="K67" s="13" t="s">
        <v>52</v>
      </c>
    </row>
    <row r="68" spans="9:11">
      <c r="I68" s="11" t="s">
        <v>48</v>
      </c>
      <c r="J68" s="14">
        <v>0.2</v>
      </c>
      <c r="K68" s="15">
        <f>J68</f>
        <v>0.2</v>
      </c>
    </row>
    <row r="69" spans="9:11">
      <c r="I69" s="11" t="s">
        <v>49</v>
      </c>
      <c r="J69" s="14">
        <v>0.5</v>
      </c>
      <c r="K69" s="15">
        <f>J69+K68</f>
        <v>0.7</v>
      </c>
    </row>
    <row r="70" spans="9:11" ht="13.8" thickBot="1">
      <c r="I70" s="16" t="s">
        <v>50</v>
      </c>
      <c r="J70" s="17">
        <v>0.3</v>
      </c>
      <c r="K70" s="18">
        <f>J70+K69</f>
        <v>1</v>
      </c>
    </row>
    <row r="72" spans="9:11">
      <c r="I72" s="95" t="s">
        <v>53</v>
      </c>
      <c r="J72" s="96"/>
      <c r="K72" s="97"/>
    </row>
    <row r="73" spans="9:11">
      <c r="I73" s="19" t="s">
        <v>56</v>
      </c>
      <c r="J73" s="19" t="s">
        <v>57</v>
      </c>
      <c r="K73" s="19" t="s">
        <v>47</v>
      </c>
    </row>
    <row r="74" spans="9:11">
      <c r="I74" s="20">
        <v>1</v>
      </c>
      <c r="J74" s="20">
        <f t="shared" ref="J74:J83" ca="1" si="8">RAND()</f>
        <v>0.59460221489751952</v>
      </c>
      <c r="K74" s="20">
        <f t="shared" ref="K74:K83" ca="1" si="9">IF(J74&lt;0.2,1,IF(J74&lt;0.7,2,3))</f>
        <v>2</v>
      </c>
    </row>
    <row r="75" spans="9:11">
      <c r="I75" s="20">
        <v>2</v>
      </c>
      <c r="J75" s="20">
        <f t="shared" ca="1" si="8"/>
        <v>0.67264625315362081</v>
      </c>
      <c r="K75" s="20">
        <f t="shared" ca="1" si="9"/>
        <v>2</v>
      </c>
    </row>
    <row r="76" spans="9:11">
      <c r="I76" s="20">
        <v>3</v>
      </c>
      <c r="J76" s="20">
        <f t="shared" ca="1" si="8"/>
        <v>0.77913904222060726</v>
      </c>
      <c r="K76" s="20">
        <f t="shared" ca="1" si="9"/>
        <v>3</v>
      </c>
    </row>
    <row r="77" spans="9:11">
      <c r="I77" s="20">
        <v>4</v>
      </c>
      <c r="J77" s="20">
        <f t="shared" ca="1" si="8"/>
        <v>0.9554648174750715</v>
      </c>
      <c r="K77" s="20">
        <f t="shared" ca="1" si="9"/>
        <v>3</v>
      </c>
    </row>
    <row r="78" spans="9:11">
      <c r="I78" s="20">
        <v>5</v>
      </c>
      <c r="J78" s="20">
        <f t="shared" ca="1" si="8"/>
        <v>0.83669912494375553</v>
      </c>
      <c r="K78" s="20">
        <f t="shared" ca="1" si="9"/>
        <v>3</v>
      </c>
    </row>
    <row r="79" spans="9:11">
      <c r="I79" s="20">
        <v>6</v>
      </c>
      <c r="J79" s="20">
        <f t="shared" ca="1" si="8"/>
        <v>5.913420895954713E-2</v>
      </c>
      <c r="K79" s="20">
        <f t="shared" ca="1" si="9"/>
        <v>1</v>
      </c>
    </row>
    <row r="80" spans="9:11">
      <c r="I80" s="20">
        <v>7</v>
      </c>
      <c r="J80" s="20">
        <f t="shared" ca="1" si="8"/>
        <v>0.86456388383360805</v>
      </c>
      <c r="K80" s="20">
        <f t="shared" ca="1" si="9"/>
        <v>3</v>
      </c>
    </row>
    <row r="81" spans="9:13">
      <c r="I81" s="20">
        <v>8</v>
      </c>
      <c r="J81" s="20">
        <f t="shared" ca="1" si="8"/>
        <v>0.88609497005209947</v>
      </c>
      <c r="K81" s="20">
        <f t="shared" ca="1" si="9"/>
        <v>3</v>
      </c>
    </row>
    <row r="82" spans="9:13">
      <c r="I82" s="20">
        <v>9</v>
      </c>
      <c r="J82" s="20">
        <f t="shared" ca="1" si="8"/>
        <v>0.95792311221155635</v>
      </c>
      <c r="K82" s="20">
        <f t="shared" ca="1" si="9"/>
        <v>3</v>
      </c>
    </row>
    <row r="83" spans="9:13">
      <c r="I83" s="20">
        <v>10</v>
      </c>
      <c r="J83" s="20">
        <f t="shared" ca="1" si="8"/>
        <v>0.51356347269708857</v>
      </c>
      <c r="K83" s="20">
        <f t="shared" ca="1" si="9"/>
        <v>2</v>
      </c>
    </row>
    <row r="84" spans="9:13">
      <c r="I84" s="27" t="s">
        <v>72</v>
      </c>
    </row>
    <row r="85" spans="9:13">
      <c r="I85" s="21" t="s">
        <v>58</v>
      </c>
    </row>
    <row r="86" spans="9:13">
      <c r="I86" s="19" t="s">
        <v>56</v>
      </c>
      <c r="J86" s="19" t="s">
        <v>57</v>
      </c>
      <c r="K86" s="19" t="s">
        <v>59</v>
      </c>
      <c r="L86" s="19" t="s">
        <v>60</v>
      </c>
      <c r="M86" s="19" t="s">
        <v>61</v>
      </c>
    </row>
    <row r="87" spans="9:13">
      <c r="I87" s="20">
        <v>1</v>
      </c>
      <c r="J87" s="20">
        <f t="shared" ref="J87:J96" ca="1" si="10">RAND()</f>
        <v>0.47318551044013168</v>
      </c>
      <c r="K87" s="20">
        <f ca="1">IF(J87&lt;0.2,1,0)</f>
        <v>0</v>
      </c>
      <c r="L87" s="20">
        <f ca="1">IF(AND(J87&gt;0.2,J87&lt;0.7),1,0)</f>
        <v>1</v>
      </c>
      <c r="M87" s="20">
        <f ca="1">IF(J87&gt;0.7,1,0)</f>
        <v>0</v>
      </c>
    </row>
    <row r="88" spans="9:13">
      <c r="I88" s="20">
        <v>2</v>
      </c>
      <c r="J88" s="20">
        <f t="shared" ca="1" si="10"/>
        <v>0.93047272370444323</v>
      </c>
      <c r="K88" s="20">
        <f t="shared" ref="K88:K96" ca="1" si="11">IF(J88&lt;0.2,1,0)</f>
        <v>0</v>
      </c>
      <c r="L88" s="20">
        <f t="shared" ref="L88:L96" ca="1" si="12">IF(AND(J88&gt;0.2,J88&lt;0.7),1,0)</f>
        <v>0</v>
      </c>
      <c r="M88" s="20">
        <f t="shared" ref="M88:M96" ca="1" si="13">IF(J88&gt;0.7,1,0)</f>
        <v>1</v>
      </c>
    </row>
    <row r="89" spans="9:13">
      <c r="I89" s="20">
        <v>3</v>
      </c>
      <c r="J89" s="20">
        <f t="shared" ca="1" si="10"/>
        <v>6.5862410674158545E-2</v>
      </c>
      <c r="K89" s="20">
        <f t="shared" ca="1" si="11"/>
        <v>1</v>
      </c>
      <c r="L89" s="20">
        <f t="shared" ca="1" si="12"/>
        <v>0</v>
      </c>
      <c r="M89" s="20">
        <f t="shared" ca="1" si="13"/>
        <v>0</v>
      </c>
    </row>
    <row r="90" spans="9:13">
      <c r="I90" s="20">
        <v>4</v>
      </c>
      <c r="J90" s="20">
        <f t="shared" ca="1" si="10"/>
        <v>0.96110445905925457</v>
      </c>
      <c r="K90" s="20">
        <f t="shared" ca="1" si="11"/>
        <v>0</v>
      </c>
      <c r="L90" s="20">
        <f t="shared" ca="1" si="12"/>
        <v>0</v>
      </c>
      <c r="M90" s="20">
        <f t="shared" ca="1" si="13"/>
        <v>1</v>
      </c>
    </row>
    <row r="91" spans="9:13">
      <c r="I91" s="20">
        <v>5</v>
      </c>
      <c r="J91" s="20">
        <f t="shared" ca="1" si="10"/>
        <v>0.35121911506190195</v>
      </c>
      <c r="K91" s="20">
        <f t="shared" ca="1" si="11"/>
        <v>0</v>
      </c>
      <c r="L91" s="20">
        <f t="shared" ca="1" si="12"/>
        <v>1</v>
      </c>
      <c r="M91" s="20">
        <f t="shared" ca="1" si="13"/>
        <v>0</v>
      </c>
    </row>
    <row r="92" spans="9:13">
      <c r="I92" s="20">
        <v>6</v>
      </c>
      <c r="J92" s="20">
        <f t="shared" ca="1" si="10"/>
        <v>0.41648055829524278</v>
      </c>
      <c r="K92" s="20">
        <f t="shared" ca="1" si="11"/>
        <v>0</v>
      </c>
      <c r="L92" s="20">
        <f t="shared" ca="1" si="12"/>
        <v>1</v>
      </c>
      <c r="M92" s="20">
        <f t="shared" ca="1" si="13"/>
        <v>0</v>
      </c>
    </row>
    <row r="93" spans="9:13">
      <c r="I93" s="20">
        <v>7</v>
      </c>
      <c r="J93" s="20">
        <f t="shared" ca="1" si="10"/>
        <v>0.25287705397240423</v>
      </c>
      <c r="K93" s="20">
        <f t="shared" ca="1" si="11"/>
        <v>0</v>
      </c>
      <c r="L93" s="20">
        <f t="shared" ca="1" si="12"/>
        <v>1</v>
      </c>
      <c r="M93" s="20">
        <f t="shared" ca="1" si="13"/>
        <v>0</v>
      </c>
    </row>
    <row r="94" spans="9:13">
      <c r="I94" s="20">
        <v>8</v>
      </c>
      <c r="J94" s="20">
        <f t="shared" ca="1" si="10"/>
        <v>0.7107075213644044</v>
      </c>
      <c r="K94" s="20">
        <f t="shared" ca="1" si="11"/>
        <v>0</v>
      </c>
      <c r="L94" s="20">
        <f t="shared" ca="1" si="12"/>
        <v>0</v>
      </c>
      <c r="M94" s="20">
        <f t="shared" ca="1" si="13"/>
        <v>1</v>
      </c>
    </row>
    <row r="95" spans="9:13">
      <c r="I95" s="20">
        <v>9</v>
      </c>
      <c r="J95" s="20">
        <f t="shared" ca="1" si="10"/>
        <v>0.49530966106616492</v>
      </c>
      <c r="K95" s="20">
        <f t="shared" ca="1" si="11"/>
        <v>0</v>
      </c>
      <c r="L95" s="20">
        <f t="shared" ca="1" si="12"/>
        <v>1</v>
      </c>
      <c r="M95" s="20">
        <f t="shared" ca="1" si="13"/>
        <v>0</v>
      </c>
    </row>
    <row r="96" spans="9:13">
      <c r="I96" s="20">
        <v>10</v>
      </c>
      <c r="J96" s="20">
        <f t="shared" ca="1" si="10"/>
        <v>0.67685994190824805</v>
      </c>
      <c r="K96" s="20">
        <f t="shared" ca="1" si="11"/>
        <v>0</v>
      </c>
      <c r="L96" s="20">
        <f t="shared" ca="1" si="12"/>
        <v>1</v>
      </c>
      <c r="M96" s="20">
        <f t="shared" ca="1" si="13"/>
        <v>0</v>
      </c>
    </row>
    <row r="97" spans="9:14">
      <c r="I97" s="91" t="s">
        <v>62</v>
      </c>
      <c r="J97" s="91"/>
      <c r="K97" s="22">
        <f ca="1">SUM(K87:K96)</f>
        <v>1</v>
      </c>
      <c r="L97" s="22">
        <f ca="1">SUM(L87:L96)</f>
        <v>6</v>
      </c>
      <c r="M97" s="22">
        <f ca="1">SUM(M87:M96)</f>
        <v>3</v>
      </c>
      <c r="N97" s="22">
        <f ca="1">SUM(K97:M97)</f>
        <v>10</v>
      </c>
    </row>
  </sheetData>
  <mergeCells count="12">
    <mergeCell ref="A1:J1"/>
    <mergeCell ref="G33:I34"/>
    <mergeCell ref="A30:I30"/>
    <mergeCell ref="D62:L62"/>
    <mergeCell ref="I45:L46"/>
    <mergeCell ref="I97:J97"/>
    <mergeCell ref="I66:K66"/>
    <mergeCell ref="I72:K72"/>
    <mergeCell ref="A33:B33"/>
    <mergeCell ref="A44:B44"/>
    <mergeCell ref="A45:B45"/>
    <mergeCell ref="A34:B34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4294967293" verticalDpi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0"/>
  <sheetViews>
    <sheetView workbookViewId="0"/>
  </sheetViews>
  <sheetFormatPr baseColWidth="10" defaultRowHeight="13.2"/>
  <sheetData>
    <row r="1" spans="1:2">
      <c r="A1" s="57">
        <f ca="1">ROUND(_xll.RiskNormal(1.75,0.07),3)</f>
        <v>1.712</v>
      </c>
      <c r="B1">
        <v>1.863</v>
      </c>
    </row>
    <row r="2" spans="1:2">
      <c r="A2" s="57">
        <f ca="1">ROUND(_xll.RiskNormal(1.75,0.07),3)</f>
        <v>1.6890000000000001</v>
      </c>
      <c r="B2">
        <v>1.7090000000000001</v>
      </c>
    </row>
    <row r="3" spans="1:2">
      <c r="A3" s="57">
        <f ca="1">ROUND(_xll.RiskNormal(1.75,0.07),3)</f>
        <v>1.7290000000000001</v>
      </c>
      <c r="B3">
        <v>1.7549999999999999</v>
      </c>
    </row>
    <row r="4" spans="1:2">
      <c r="A4" s="57">
        <f ca="1">ROUND(_xll.RiskNormal(1.75,0.07),3)</f>
        <v>1.806</v>
      </c>
      <c r="B4">
        <v>1.768</v>
      </c>
    </row>
    <row r="5" spans="1:2">
      <c r="A5" s="57">
        <f ca="1">ROUND(_xll.RiskNormal(1.75,0.07),3)</f>
        <v>1.756</v>
      </c>
      <c r="B5">
        <v>1.7789999999999999</v>
      </c>
    </row>
    <row r="6" spans="1:2">
      <c r="A6" s="57">
        <f ca="1">ROUND(_xll.RiskNormal(1.75,0.07),3)</f>
        <v>1.7949999999999999</v>
      </c>
      <c r="B6">
        <v>1.732</v>
      </c>
    </row>
    <row r="7" spans="1:2">
      <c r="A7" s="57">
        <f ca="1">ROUND(_xll.RiskNormal(1.75,0.07),3)</f>
        <v>1.821</v>
      </c>
      <c r="B7">
        <v>1.6859999999999999</v>
      </c>
    </row>
    <row r="8" spans="1:2">
      <c r="A8" s="57">
        <f ca="1">ROUND(_xll.RiskNormal(1.75,0.07),3)</f>
        <v>1.673</v>
      </c>
      <c r="B8">
        <v>1.7729999999999999</v>
      </c>
    </row>
    <row r="9" spans="1:2">
      <c r="A9" s="57">
        <f ca="1">ROUND(_xll.RiskNormal(1.75,0.07),3)</f>
        <v>1.8240000000000001</v>
      </c>
      <c r="B9">
        <v>1.806</v>
      </c>
    </row>
    <row r="10" spans="1:2">
      <c r="A10" s="57">
        <f ca="1">ROUND(_xll.RiskNormal(1.75,0.07),3)</f>
        <v>1.718</v>
      </c>
      <c r="B10">
        <v>1.7130000000000001</v>
      </c>
    </row>
    <row r="11" spans="1:2">
      <c r="A11" s="57">
        <f ca="1">ROUND(_xll.RiskNormal(1.75,0.07),3)</f>
        <v>1.7010000000000001</v>
      </c>
      <c r="B11">
        <v>1.768</v>
      </c>
    </row>
    <row r="12" spans="1:2">
      <c r="A12" s="57">
        <f ca="1">ROUND(_xll.RiskNormal(1.75,0.07),3)</f>
        <v>1.702</v>
      </c>
      <c r="B12">
        <v>1.8140000000000001</v>
      </c>
    </row>
    <row r="13" spans="1:2">
      <c r="A13" s="57">
        <f ca="1">ROUND(_xll.RiskNormal(1.75,0.07),3)</f>
        <v>1.8440000000000001</v>
      </c>
      <c r="B13">
        <v>1.8939999999999999</v>
      </c>
    </row>
    <row r="14" spans="1:2">
      <c r="A14" s="57">
        <f ca="1">ROUND(_xll.RiskNormal(1.75,0.07),3)</f>
        <v>1.7629999999999999</v>
      </c>
      <c r="B14">
        <v>1.647</v>
      </c>
    </row>
    <row r="15" spans="1:2">
      <c r="A15" s="57">
        <f ca="1">ROUND(_xll.RiskNormal(1.75,0.07),3)</f>
        <v>1.726</v>
      </c>
      <c r="B15">
        <v>1.6970000000000001</v>
      </c>
    </row>
    <row r="16" spans="1:2">
      <c r="A16" s="57">
        <f ca="1">ROUND(_xll.RiskNormal(1.75,0.07),3)</f>
        <v>1.744</v>
      </c>
      <c r="B16">
        <v>1.629</v>
      </c>
    </row>
    <row r="17" spans="1:2">
      <c r="A17" s="57">
        <f ca="1">ROUND(_xll.RiskNormal(1.75,0.07),3)</f>
        <v>1.67</v>
      </c>
      <c r="B17">
        <v>1.744</v>
      </c>
    </row>
    <row r="18" spans="1:2">
      <c r="A18" s="57">
        <f ca="1">ROUND(_xll.RiskNormal(1.75,0.07),3)</f>
        <v>1.7809999999999999</v>
      </c>
      <c r="B18">
        <v>1.6339999999999999</v>
      </c>
    </row>
    <row r="19" spans="1:2">
      <c r="A19" s="57">
        <f ca="1">ROUND(_xll.RiskNormal(1.75,0.07),3)</f>
        <v>1.7250000000000001</v>
      </c>
      <c r="B19">
        <v>1.8380000000000001</v>
      </c>
    </row>
    <row r="20" spans="1:2">
      <c r="A20" s="57">
        <f ca="1">ROUND(_xll.RiskNormal(1.75,0.07),3)</f>
        <v>1.625</v>
      </c>
      <c r="B20">
        <v>1.6779999999999999</v>
      </c>
    </row>
    <row r="21" spans="1:2">
      <c r="A21" s="57">
        <f ca="1">ROUND(_xll.RiskNormal(1.75,0.07),3)</f>
        <v>1.7729999999999999</v>
      </c>
      <c r="B21">
        <v>1.768</v>
      </c>
    </row>
    <row r="22" spans="1:2">
      <c r="A22" s="57">
        <f ca="1">ROUND(_xll.RiskNormal(1.75,0.07),3)</f>
        <v>1.754</v>
      </c>
      <c r="B22">
        <v>1.7310000000000001</v>
      </c>
    </row>
    <row r="23" spans="1:2">
      <c r="A23" s="57">
        <f ca="1">ROUND(_xll.RiskNormal(1.75,0.07),3)</f>
        <v>1.722</v>
      </c>
      <c r="B23">
        <v>1.792</v>
      </c>
    </row>
    <row r="24" spans="1:2">
      <c r="A24" s="57">
        <f ca="1">ROUND(_xll.RiskNormal(1.75,0.07),3)</f>
        <v>1.778</v>
      </c>
      <c r="B24">
        <v>1.869</v>
      </c>
    </row>
    <row r="25" spans="1:2">
      <c r="A25" s="57">
        <f ca="1">ROUND(_xll.RiskNormal(1.75,0.07),3)</f>
        <v>1.9039999999999999</v>
      </c>
      <c r="B25">
        <v>1.7350000000000001</v>
      </c>
    </row>
    <row r="26" spans="1:2">
      <c r="A26" s="57">
        <f ca="1">ROUND(_xll.RiskNormal(1.75,0.07),3)</f>
        <v>1.6819999999999999</v>
      </c>
      <c r="B26">
        <v>1.6639999999999999</v>
      </c>
    </row>
    <row r="27" spans="1:2">
      <c r="A27" s="57">
        <f ca="1">ROUND(_xll.RiskNormal(1.75,0.07),3)</f>
        <v>1.63</v>
      </c>
      <c r="B27">
        <v>1.784</v>
      </c>
    </row>
    <row r="28" spans="1:2">
      <c r="A28" s="57">
        <f ca="1">ROUND(_xll.RiskNormal(1.75,0.07),3)</f>
        <v>1.704</v>
      </c>
      <c r="B28">
        <v>1.7769999999999999</v>
      </c>
    </row>
    <row r="29" spans="1:2">
      <c r="A29" s="57">
        <f ca="1">ROUND(_xll.RiskNormal(1.75,0.07),3)</f>
        <v>1.6830000000000001</v>
      </c>
      <c r="B29">
        <v>1.863</v>
      </c>
    </row>
    <row r="30" spans="1:2">
      <c r="A30" s="57">
        <f ca="1">ROUND(_xll.RiskNormal(1.75,0.07),3)</f>
        <v>1.7210000000000001</v>
      </c>
      <c r="B30">
        <v>1.7549999999999999</v>
      </c>
    </row>
    <row r="31" spans="1:2">
      <c r="A31" s="57">
        <f ca="1">ROUND(_xll.RiskNormal(1.75,0.07),3)</f>
        <v>1.694</v>
      </c>
      <c r="B31">
        <v>1.6910000000000001</v>
      </c>
    </row>
    <row r="32" spans="1:2">
      <c r="A32" s="57">
        <f ca="1">ROUND(_xll.RiskNormal(1.75,0.07),3)</f>
        <v>1.8109999999999999</v>
      </c>
      <c r="B32">
        <v>1.724</v>
      </c>
    </row>
    <row r="33" spans="1:2">
      <c r="A33" s="57">
        <f ca="1">ROUND(_xll.RiskNormal(1.75,0.07),3)</f>
        <v>1.7589999999999999</v>
      </c>
      <c r="B33">
        <v>1.8109999999999999</v>
      </c>
    </row>
    <row r="34" spans="1:2">
      <c r="A34" s="57">
        <f ca="1">ROUND(_xll.RiskNormal(1.75,0.07),3)</f>
        <v>1.7849999999999999</v>
      </c>
      <c r="B34">
        <v>1.6910000000000001</v>
      </c>
    </row>
    <row r="35" spans="1:2">
      <c r="A35" s="57">
        <f ca="1">ROUND(_xll.RiskNormal(1.75,0.07),3)</f>
        <v>1.6439999999999999</v>
      </c>
      <c r="B35">
        <v>1.881</v>
      </c>
    </row>
    <row r="36" spans="1:2">
      <c r="A36" s="57">
        <f ca="1">ROUND(_xll.RiskNormal(1.75,0.07),3)</f>
        <v>1.679</v>
      </c>
      <c r="B36">
        <v>1.696</v>
      </c>
    </row>
    <row r="37" spans="1:2">
      <c r="A37" s="57">
        <f ca="1">ROUND(_xll.RiskNormal(1.75,0.07),3)</f>
        <v>1.633</v>
      </c>
      <c r="B37">
        <v>1.597</v>
      </c>
    </row>
    <row r="38" spans="1:2">
      <c r="A38" s="57">
        <f ca="1">ROUND(_xll.RiskNormal(1.75,0.07),3)</f>
        <v>1.7549999999999999</v>
      </c>
      <c r="B38">
        <v>1.63</v>
      </c>
    </row>
    <row r="39" spans="1:2">
      <c r="A39" s="57">
        <f ca="1">ROUND(_xll.RiskNormal(1.75,0.07),3)</f>
        <v>1.643</v>
      </c>
      <c r="B39">
        <v>1.6950000000000001</v>
      </c>
    </row>
    <row r="40" spans="1:2">
      <c r="A40" s="57">
        <f ca="1">ROUND(_xll.RiskNormal(1.75,0.07),3)</f>
        <v>1.776</v>
      </c>
      <c r="B40">
        <v>1.7889999999999999</v>
      </c>
    </row>
    <row r="41" spans="1:2">
      <c r="A41" s="57">
        <f ca="1">ROUND(_xll.RiskNormal(1.75,0.07),3)</f>
        <v>1.782</v>
      </c>
      <c r="B41">
        <v>1.667</v>
      </c>
    </row>
    <row r="42" spans="1:2">
      <c r="A42" s="57">
        <f ca="1">ROUND(_xll.RiskNormal(1.75,0.07),3)</f>
        <v>1.712</v>
      </c>
      <c r="B42">
        <v>1.778</v>
      </c>
    </row>
    <row r="43" spans="1:2">
      <c r="A43" s="57">
        <f ca="1">ROUND(_xll.RiskNormal(1.75,0.07),3)</f>
        <v>1.9510000000000001</v>
      </c>
      <c r="B43">
        <v>1.8009999999999999</v>
      </c>
    </row>
    <row r="44" spans="1:2">
      <c r="A44" s="57">
        <f ca="1">ROUND(_xll.RiskNormal(1.75,0.07),3)</f>
        <v>1.825</v>
      </c>
      <c r="B44">
        <v>1.74</v>
      </c>
    </row>
    <row r="45" spans="1:2">
      <c r="A45" s="57">
        <f ca="1">ROUND(_xll.RiskNormal(1.75,0.07),3)</f>
        <v>1.7210000000000001</v>
      </c>
      <c r="B45">
        <v>1.6519999999999999</v>
      </c>
    </row>
    <row r="46" spans="1:2">
      <c r="A46" s="57">
        <f ca="1">ROUND(_xll.RiskNormal(1.75,0.07),3)</f>
        <v>1.7210000000000001</v>
      </c>
      <c r="B46">
        <v>1.7909999999999999</v>
      </c>
    </row>
    <row r="47" spans="1:2">
      <c r="A47" s="57">
        <f ca="1">ROUND(_xll.RiskNormal(1.75,0.07),3)</f>
        <v>1.6919999999999999</v>
      </c>
      <c r="B47">
        <v>1.9570000000000001</v>
      </c>
    </row>
    <row r="48" spans="1:2">
      <c r="A48" s="57">
        <f ca="1">ROUND(_xll.RiskNormal(1.75,0.07),3)</f>
        <v>1.873</v>
      </c>
      <c r="B48">
        <v>1.6639999999999999</v>
      </c>
    </row>
    <row r="49" spans="1:2">
      <c r="A49" s="57">
        <f ca="1">ROUND(_xll.RiskNormal(1.75,0.07),3)</f>
        <v>1.9039999999999999</v>
      </c>
      <c r="B49">
        <v>1.73</v>
      </c>
    </row>
    <row r="50" spans="1:2">
      <c r="A50" s="57">
        <f ca="1">ROUND(_xll.RiskNormal(1.75,0.07),3)</f>
        <v>1.7889999999999999</v>
      </c>
      <c r="B50">
        <v>1.8580000000000001</v>
      </c>
    </row>
    <row r="51" spans="1:2">
      <c r="A51" s="57">
        <f ca="1">ROUND(_xll.RiskNormal(1.75,0.07),3)</f>
        <v>1.83</v>
      </c>
      <c r="B51">
        <v>1.8420000000000001</v>
      </c>
    </row>
    <row r="52" spans="1:2">
      <c r="A52" s="57">
        <f ca="1">ROUND(_xll.RiskNormal(1.75,0.07),3)</f>
        <v>1.6990000000000001</v>
      </c>
      <c r="B52">
        <v>1.8220000000000001</v>
      </c>
    </row>
    <row r="53" spans="1:2">
      <c r="A53" s="57">
        <f ca="1">ROUND(_xll.RiskNormal(1.75,0.07),3)</f>
        <v>1.73</v>
      </c>
      <c r="B53">
        <v>1.6879999999999999</v>
      </c>
    </row>
    <row r="54" spans="1:2">
      <c r="A54" s="57">
        <f ca="1">ROUND(_xll.RiskNormal(1.75,0.07),3)</f>
        <v>1.8220000000000001</v>
      </c>
      <c r="B54">
        <v>1.7789999999999999</v>
      </c>
    </row>
    <row r="55" spans="1:2">
      <c r="A55" s="57">
        <f ca="1">ROUND(_xll.RiskNormal(1.75,0.07),3)</f>
        <v>1.758</v>
      </c>
      <c r="B55">
        <v>1.74</v>
      </c>
    </row>
    <row r="56" spans="1:2">
      <c r="A56" s="57">
        <f ca="1">ROUND(_xll.RiskNormal(1.75,0.07),3)</f>
        <v>1.7330000000000001</v>
      </c>
      <c r="B56">
        <v>1.728</v>
      </c>
    </row>
    <row r="57" spans="1:2">
      <c r="A57" s="57">
        <f ca="1">ROUND(_xll.RiskNormal(1.75,0.07),3)</f>
        <v>1.7390000000000001</v>
      </c>
      <c r="B57">
        <v>1.821</v>
      </c>
    </row>
    <row r="58" spans="1:2">
      <c r="A58" s="57">
        <f ca="1">ROUND(_xll.RiskNormal(1.75,0.07),3)</f>
        <v>1.6220000000000001</v>
      </c>
      <c r="B58">
        <v>1.7350000000000001</v>
      </c>
    </row>
    <row r="59" spans="1:2">
      <c r="A59" s="57">
        <f ca="1">ROUND(_xll.RiskNormal(1.75,0.07),3)</f>
        <v>1.81</v>
      </c>
      <c r="B59">
        <v>1.7669999999999999</v>
      </c>
    </row>
    <row r="60" spans="1:2">
      <c r="A60" s="57">
        <f ca="1">ROUND(_xll.RiskNormal(1.75,0.07),3)</f>
        <v>1.675</v>
      </c>
      <c r="B60">
        <v>1.7470000000000001</v>
      </c>
    </row>
    <row r="61" spans="1:2">
      <c r="A61" s="57">
        <f ca="1">ROUND(_xll.RiskNormal(1.75,0.07),3)</f>
        <v>1.79</v>
      </c>
      <c r="B61">
        <v>1.7430000000000001</v>
      </c>
    </row>
    <row r="62" spans="1:2">
      <c r="A62" s="57">
        <f ca="1">ROUND(_xll.RiskNormal(1.75,0.07),3)</f>
        <v>1.9159999999999999</v>
      </c>
      <c r="B62">
        <v>1.8560000000000001</v>
      </c>
    </row>
    <row r="63" spans="1:2">
      <c r="A63" s="57">
        <f ca="1">ROUND(_xll.RiskNormal(1.75,0.07),3)</f>
        <v>1.81</v>
      </c>
      <c r="B63">
        <v>1.752</v>
      </c>
    </row>
    <row r="64" spans="1:2">
      <c r="A64" s="57">
        <f ca="1">ROUND(_xll.RiskNormal(1.75,0.07),3)</f>
        <v>1.738</v>
      </c>
      <c r="B64">
        <v>1.827</v>
      </c>
    </row>
    <row r="65" spans="1:2">
      <c r="A65" s="57">
        <f ca="1">ROUND(_xll.RiskNormal(1.75,0.07),3)</f>
        <v>1.6930000000000001</v>
      </c>
      <c r="B65">
        <v>1.7629999999999999</v>
      </c>
    </row>
    <row r="66" spans="1:2">
      <c r="A66" s="57">
        <f ca="1">ROUND(_xll.RiskNormal(1.75,0.07),3)</f>
        <v>1.8109999999999999</v>
      </c>
      <c r="B66">
        <v>1.746</v>
      </c>
    </row>
    <row r="67" spans="1:2">
      <c r="A67" s="57">
        <f ca="1">ROUND(_xll.RiskNormal(1.75,0.07),3)</f>
        <v>1.7010000000000001</v>
      </c>
      <c r="B67">
        <v>1.7390000000000001</v>
      </c>
    </row>
    <row r="68" spans="1:2">
      <c r="A68" s="57">
        <f ca="1">ROUND(_xll.RiskNormal(1.75,0.07),3)</f>
        <v>1.7509999999999999</v>
      </c>
      <c r="B68">
        <v>1.76</v>
      </c>
    </row>
    <row r="69" spans="1:2">
      <c r="A69" s="57">
        <f ca="1">ROUND(_xll.RiskNormal(1.75,0.07),3)</f>
        <v>1.8540000000000001</v>
      </c>
      <c r="B69">
        <v>1.6890000000000001</v>
      </c>
    </row>
    <row r="70" spans="1:2">
      <c r="A70" s="57">
        <f ca="1">ROUND(_xll.RiskNormal(1.75,0.07),3)</f>
        <v>1.7210000000000001</v>
      </c>
      <c r="B70">
        <v>1.831</v>
      </c>
    </row>
    <row r="71" spans="1:2">
      <c r="A71" s="57">
        <f ca="1">ROUND(_xll.RiskNormal(1.75,0.07),3)</f>
        <v>1.7030000000000001</v>
      </c>
      <c r="B71">
        <v>1.6659999999999999</v>
      </c>
    </row>
    <row r="72" spans="1:2">
      <c r="A72" s="57">
        <f ca="1">ROUND(_xll.RiskNormal(1.75,0.07),3)</f>
        <v>1.748</v>
      </c>
      <c r="B72">
        <v>1.865</v>
      </c>
    </row>
    <row r="73" spans="1:2">
      <c r="A73" s="57">
        <f ca="1">ROUND(_xll.RiskNormal(1.75,0.07),3)</f>
        <v>1.67</v>
      </c>
      <c r="B73">
        <v>1.6779999999999999</v>
      </c>
    </row>
    <row r="74" spans="1:2">
      <c r="A74" s="57">
        <f ca="1">ROUND(_xll.RiskNormal(1.75,0.07),3)</f>
        <v>1.677</v>
      </c>
      <c r="B74">
        <v>1.7749999999999999</v>
      </c>
    </row>
    <row r="75" spans="1:2">
      <c r="A75" s="57">
        <f ca="1">ROUND(_xll.RiskNormal(1.75,0.07),3)</f>
        <v>1.73</v>
      </c>
      <c r="B75">
        <v>1.637</v>
      </c>
    </row>
    <row r="76" spans="1:2">
      <c r="A76" s="57">
        <f ca="1">ROUND(_xll.RiskNormal(1.75,0.07),3)</f>
        <v>1.774</v>
      </c>
      <c r="B76">
        <v>1.7969999999999999</v>
      </c>
    </row>
    <row r="77" spans="1:2">
      <c r="A77" s="57">
        <f ca="1">ROUND(_xll.RiskNormal(1.75,0.07),3)</f>
        <v>1.8360000000000001</v>
      </c>
      <c r="B77">
        <v>1.76</v>
      </c>
    </row>
    <row r="78" spans="1:2">
      <c r="A78" s="57">
        <f ca="1">ROUND(_xll.RiskNormal(1.75,0.07),3)</f>
        <v>1.7450000000000001</v>
      </c>
      <c r="B78">
        <v>1.7230000000000001</v>
      </c>
    </row>
    <row r="79" spans="1:2">
      <c r="A79" s="57">
        <f ca="1">ROUND(_xll.RiskNormal(1.75,0.07),3)</f>
        <v>1.86</v>
      </c>
      <c r="B79">
        <v>1.8220000000000001</v>
      </c>
    </row>
    <row r="80" spans="1:2">
      <c r="A80" s="57">
        <f ca="1">ROUND(_xll.RiskNormal(1.75,0.07),3)</f>
        <v>1.881</v>
      </c>
      <c r="B80">
        <v>1.847</v>
      </c>
    </row>
    <row r="81" spans="1:2">
      <c r="A81" s="57">
        <f ca="1">ROUND(_xll.RiskNormal(1.75,0.07),3)</f>
        <v>1.665</v>
      </c>
      <c r="B81">
        <v>1.7250000000000001</v>
      </c>
    </row>
    <row r="82" spans="1:2">
      <c r="A82" s="57">
        <f ca="1">ROUND(_xll.RiskNormal(1.75,0.07),3)</f>
        <v>1.7390000000000001</v>
      </c>
      <c r="B82">
        <v>1.819</v>
      </c>
    </row>
    <row r="83" spans="1:2">
      <c r="A83" s="57">
        <f ca="1">ROUND(_xll.RiskNormal(1.75,0.07),3)</f>
        <v>1.855</v>
      </c>
      <c r="B83">
        <v>1.649</v>
      </c>
    </row>
    <row r="84" spans="1:2">
      <c r="A84" s="57">
        <f ca="1">ROUND(_xll.RiskNormal(1.75,0.07),3)</f>
        <v>1.8089999999999999</v>
      </c>
      <c r="B84">
        <v>1.7589999999999999</v>
      </c>
    </row>
    <row r="85" spans="1:2">
      <c r="A85" s="57">
        <f ca="1">ROUND(_xll.RiskNormal(1.75,0.07),3)</f>
        <v>1.7869999999999999</v>
      </c>
      <c r="B85">
        <v>1.7370000000000001</v>
      </c>
    </row>
    <row r="86" spans="1:2">
      <c r="A86" s="57">
        <f ca="1">ROUND(_xll.RiskNormal(1.75,0.07),3)</f>
        <v>1.7350000000000001</v>
      </c>
      <c r="B86">
        <v>1.8280000000000001</v>
      </c>
    </row>
    <row r="87" spans="1:2">
      <c r="A87" s="57">
        <f ca="1">ROUND(_xll.RiskNormal(1.75,0.07),3)</f>
        <v>1.879</v>
      </c>
      <c r="B87">
        <v>1.768</v>
      </c>
    </row>
    <row r="88" spans="1:2">
      <c r="A88" s="57">
        <f ca="1">ROUND(_xll.RiskNormal(1.75,0.07),3)</f>
        <v>1.843</v>
      </c>
      <c r="B88">
        <v>1.823</v>
      </c>
    </row>
    <row r="89" spans="1:2">
      <c r="A89" s="57">
        <f ca="1">ROUND(_xll.RiskNormal(1.75,0.07),3)</f>
        <v>1.829</v>
      </c>
      <c r="B89">
        <v>1.7370000000000001</v>
      </c>
    </row>
    <row r="90" spans="1:2">
      <c r="A90" s="57">
        <f ca="1">ROUND(_xll.RiskNormal(1.75,0.07),3)</f>
        <v>1.8120000000000001</v>
      </c>
      <c r="B90">
        <v>1.8109999999999999</v>
      </c>
    </row>
    <row r="91" spans="1:2">
      <c r="A91" s="57">
        <f ca="1">ROUND(_xll.RiskNormal(1.75,0.07),3)</f>
        <v>1.708</v>
      </c>
      <c r="B91">
        <v>1.8120000000000001</v>
      </c>
    </row>
    <row r="92" spans="1:2">
      <c r="A92" s="57">
        <f ca="1">ROUND(_xll.RiskNormal(1.75,0.07),3)</f>
        <v>1.679</v>
      </c>
      <c r="B92">
        <v>1.671</v>
      </c>
    </row>
    <row r="93" spans="1:2">
      <c r="A93" s="57">
        <f ca="1">ROUND(_xll.RiskNormal(1.75,0.07),3)</f>
        <v>1.9390000000000001</v>
      </c>
      <c r="B93">
        <v>1.86</v>
      </c>
    </row>
    <row r="94" spans="1:2">
      <c r="A94" s="57">
        <f ca="1">ROUND(_xll.RiskNormal(1.75,0.07),3)</f>
        <v>1.7490000000000001</v>
      </c>
      <c r="B94">
        <v>1.756</v>
      </c>
    </row>
    <row r="95" spans="1:2">
      <c r="A95" s="57">
        <f ca="1">ROUND(_xll.RiskNormal(1.75,0.07),3)</f>
        <v>1.734</v>
      </c>
      <c r="B95">
        <v>1.829</v>
      </c>
    </row>
    <row r="96" spans="1:2">
      <c r="A96" s="57">
        <f ca="1">ROUND(_xll.RiskNormal(1.75,0.07),3)</f>
        <v>1.7</v>
      </c>
      <c r="B96">
        <v>1.84</v>
      </c>
    </row>
    <row r="97" spans="1:2">
      <c r="A97" s="57">
        <f ca="1">ROUND(_xll.RiskNormal(1.75,0.07),3)</f>
        <v>1.762</v>
      </c>
      <c r="B97">
        <v>1.788</v>
      </c>
    </row>
    <row r="98" spans="1:2">
      <c r="A98" s="57">
        <f ca="1">ROUND(_xll.RiskNormal(1.75,0.07),3)</f>
        <v>1.899</v>
      </c>
      <c r="B98">
        <v>1.802</v>
      </c>
    </row>
    <row r="99" spans="1:2">
      <c r="A99" s="57">
        <f ca="1">ROUND(_xll.RiskNormal(1.75,0.07),3)</f>
        <v>1.806</v>
      </c>
      <c r="B99">
        <v>1.7450000000000001</v>
      </c>
    </row>
    <row r="100" spans="1:2">
      <c r="A100" s="57">
        <f ca="1">ROUND(_xll.RiskNormal(1.75,0.07),3)</f>
        <v>1.7649999999999999</v>
      </c>
      <c r="B100">
        <v>1.736</v>
      </c>
    </row>
    <row r="101" spans="1:2">
      <c r="A101" s="57">
        <f ca="1">ROUND(_xll.RiskNormal(1.75,0.07),3)</f>
        <v>1.766</v>
      </c>
      <c r="B101">
        <v>1.7829999999999999</v>
      </c>
    </row>
    <row r="102" spans="1:2">
      <c r="A102" s="57">
        <f ca="1">ROUND(_xll.RiskNormal(1.75,0.07),3)</f>
        <v>1.82</v>
      </c>
      <c r="B102">
        <v>1.891</v>
      </c>
    </row>
    <row r="103" spans="1:2">
      <c r="A103" s="57">
        <f ca="1">ROUND(_xll.RiskNormal(1.75,0.07),3)</f>
        <v>1.7290000000000001</v>
      </c>
      <c r="B103">
        <v>1.595</v>
      </c>
    </row>
    <row r="104" spans="1:2">
      <c r="A104" s="57">
        <f ca="1">ROUND(_xll.RiskNormal(1.75,0.07),3)</f>
        <v>1.7969999999999999</v>
      </c>
      <c r="B104">
        <v>1.7030000000000001</v>
      </c>
    </row>
    <row r="105" spans="1:2">
      <c r="A105" s="57">
        <f ca="1">ROUND(_xll.RiskNormal(1.75,0.07),3)</f>
        <v>1.825</v>
      </c>
      <c r="B105">
        <v>1.8979999999999999</v>
      </c>
    </row>
    <row r="106" spans="1:2">
      <c r="A106" s="57">
        <f ca="1">ROUND(_xll.RiskNormal(1.75,0.07),3)</f>
        <v>1.792</v>
      </c>
      <c r="B106">
        <v>1.72</v>
      </c>
    </row>
    <row r="107" spans="1:2">
      <c r="A107" s="57">
        <f ca="1">ROUND(_xll.RiskNormal(1.75,0.07),3)</f>
        <v>1.81</v>
      </c>
      <c r="B107">
        <v>1.6839999999999999</v>
      </c>
    </row>
    <row r="108" spans="1:2">
      <c r="A108" s="57">
        <f ca="1">ROUND(_xll.RiskNormal(1.75,0.07),3)</f>
        <v>1.7709999999999999</v>
      </c>
      <c r="B108">
        <v>1.8680000000000001</v>
      </c>
    </row>
    <row r="109" spans="1:2">
      <c r="A109" s="57">
        <f ca="1">ROUND(_xll.RiskNormal(1.75,0.07),3)</f>
        <v>1.899</v>
      </c>
      <c r="B109">
        <v>1.8420000000000001</v>
      </c>
    </row>
    <row r="110" spans="1:2">
      <c r="A110" s="57">
        <f ca="1">ROUND(_xll.RiskNormal(1.75,0.07),3)</f>
        <v>1.6659999999999999</v>
      </c>
      <c r="B110">
        <v>1.8109999999999999</v>
      </c>
    </row>
    <row r="111" spans="1:2">
      <c r="A111" s="57">
        <f ca="1">ROUND(_xll.RiskNormal(1.75,0.07),3)</f>
        <v>1.833</v>
      </c>
      <c r="B111">
        <v>1.8109999999999999</v>
      </c>
    </row>
    <row r="112" spans="1:2">
      <c r="A112" s="57">
        <f ca="1">ROUND(_xll.RiskNormal(1.75,0.07),3)</f>
        <v>1.748</v>
      </c>
      <c r="B112">
        <v>1.84</v>
      </c>
    </row>
    <row r="113" spans="1:2">
      <c r="A113" s="57">
        <f ca="1">ROUND(_xll.RiskNormal(1.75,0.07),3)</f>
        <v>1.8129999999999999</v>
      </c>
      <c r="B113">
        <v>1.8089999999999999</v>
      </c>
    </row>
    <row r="114" spans="1:2">
      <c r="A114" s="57">
        <f ca="1">ROUND(_xll.RiskNormal(1.75,0.07),3)</f>
        <v>1.7170000000000001</v>
      </c>
      <c r="B114">
        <v>1.591</v>
      </c>
    </row>
    <row r="115" spans="1:2">
      <c r="A115" s="57">
        <f ca="1">ROUND(_xll.RiskNormal(1.75,0.07),3)</f>
        <v>1.76</v>
      </c>
      <c r="B115">
        <v>1.7070000000000001</v>
      </c>
    </row>
    <row r="116" spans="1:2">
      <c r="A116" s="57">
        <f ca="1">ROUND(_xll.RiskNormal(1.75,0.07),3)</f>
        <v>1.675</v>
      </c>
      <c r="B116">
        <v>1.7290000000000001</v>
      </c>
    </row>
    <row r="117" spans="1:2">
      <c r="A117" s="57">
        <f ca="1">ROUND(_xll.RiskNormal(1.75,0.07),3)</f>
        <v>1.673</v>
      </c>
      <c r="B117">
        <v>1.696</v>
      </c>
    </row>
    <row r="118" spans="1:2">
      <c r="A118" s="57">
        <f ca="1">ROUND(_xll.RiskNormal(1.75,0.07),3)</f>
        <v>1.742</v>
      </c>
      <c r="B118">
        <v>1.7</v>
      </c>
    </row>
    <row r="119" spans="1:2">
      <c r="A119" s="57">
        <f ca="1">ROUND(_xll.RiskNormal(1.75,0.07),3)</f>
        <v>1.7809999999999999</v>
      </c>
      <c r="B119">
        <v>1.7370000000000001</v>
      </c>
    </row>
    <row r="120" spans="1:2">
      <c r="A120" s="57">
        <f ca="1">ROUND(_xll.RiskNormal(1.75,0.07),3)</f>
        <v>1.782</v>
      </c>
      <c r="B120">
        <v>1.712</v>
      </c>
    </row>
    <row r="121" spans="1:2">
      <c r="A121" s="57">
        <f ca="1">ROUND(_xll.RiskNormal(1.75,0.07),3)</f>
        <v>1.6180000000000001</v>
      </c>
      <c r="B121">
        <v>1.8220000000000001</v>
      </c>
    </row>
    <row r="122" spans="1:2">
      <c r="A122" s="57">
        <f ca="1">ROUND(_xll.RiskNormal(1.75,0.07),3)</f>
        <v>1.6579999999999999</v>
      </c>
      <c r="B122">
        <v>1.7949999999999999</v>
      </c>
    </row>
    <row r="123" spans="1:2">
      <c r="A123" s="57">
        <f ca="1">ROUND(_xll.RiskNormal(1.75,0.07),3)</f>
        <v>1.7070000000000001</v>
      </c>
      <c r="B123">
        <v>1.7410000000000001</v>
      </c>
    </row>
    <row r="124" spans="1:2">
      <c r="A124" s="57">
        <f ca="1">ROUND(_xll.RiskNormal(1.75,0.07),3)</f>
        <v>1.6619999999999999</v>
      </c>
      <c r="B124">
        <v>1.792</v>
      </c>
    </row>
    <row r="125" spans="1:2">
      <c r="A125" s="57">
        <f ca="1">ROUND(_xll.RiskNormal(1.75,0.07),3)</f>
        <v>1.748</v>
      </c>
      <c r="B125">
        <v>1.8560000000000001</v>
      </c>
    </row>
    <row r="126" spans="1:2">
      <c r="A126" s="57">
        <f ca="1">ROUND(_xll.RiskNormal(1.75,0.07),3)</f>
        <v>1.7210000000000001</v>
      </c>
      <c r="B126">
        <v>1.7430000000000001</v>
      </c>
    </row>
    <row r="127" spans="1:2">
      <c r="A127" s="57">
        <f ca="1">ROUND(_xll.RiskNormal(1.75,0.07),3)</f>
        <v>1.8320000000000001</v>
      </c>
      <c r="B127">
        <v>1.724</v>
      </c>
    </row>
    <row r="128" spans="1:2">
      <c r="A128" s="57">
        <f ca="1">ROUND(_xll.RiskNormal(1.75,0.07),3)</f>
        <v>1.67</v>
      </c>
      <c r="B128">
        <v>1.726</v>
      </c>
    </row>
    <row r="129" spans="1:2">
      <c r="A129" s="57">
        <f ca="1">ROUND(_xll.RiskNormal(1.75,0.07),3)</f>
        <v>1.8140000000000001</v>
      </c>
      <c r="B129">
        <v>1.7709999999999999</v>
      </c>
    </row>
    <row r="130" spans="1:2">
      <c r="A130" s="57">
        <f ca="1">ROUND(_xll.RiskNormal(1.75,0.07),3)</f>
        <v>1.6830000000000001</v>
      </c>
      <c r="B130">
        <v>1.7649999999999999</v>
      </c>
    </row>
    <row r="131" spans="1:2">
      <c r="A131" s="57">
        <f ca="1">ROUND(_xll.RiskNormal(1.75,0.07),3)</f>
        <v>1.8120000000000001</v>
      </c>
      <c r="B131">
        <v>1.895</v>
      </c>
    </row>
    <row r="132" spans="1:2">
      <c r="A132" s="57">
        <f ca="1">ROUND(_xll.RiskNormal(1.75,0.07),3)</f>
        <v>1.774</v>
      </c>
      <c r="B132">
        <v>1.756</v>
      </c>
    </row>
    <row r="133" spans="1:2">
      <c r="A133" s="57">
        <f ca="1">ROUND(_xll.RiskNormal(1.75,0.07),3)</f>
        <v>1.5960000000000001</v>
      </c>
      <c r="B133">
        <v>1.776</v>
      </c>
    </row>
    <row r="134" spans="1:2">
      <c r="A134" s="57">
        <f ca="1">ROUND(_xll.RiskNormal(1.75,0.07),3)</f>
        <v>1.734</v>
      </c>
      <c r="B134">
        <v>1.7589999999999999</v>
      </c>
    </row>
    <row r="135" spans="1:2">
      <c r="A135" s="57">
        <f ca="1">ROUND(_xll.RiskNormal(1.75,0.07),3)</f>
        <v>1.88</v>
      </c>
      <c r="B135">
        <v>1.6319999999999999</v>
      </c>
    </row>
    <row r="136" spans="1:2">
      <c r="A136" s="57">
        <f ca="1">ROUND(_xll.RiskNormal(1.75,0.07),3)</f>
        <v>1.83</v>
      </c>
      <c r="B136">
        <v>1.7709999999999999</v>
      </c>
    </row>
    <row r="137" spans="1:2">
      <c r="A137" s="57">
        <f ca="1">ROUND(_xll.RiskNormal(1.75,0.07),3)</f>
        <v>1.6719999999999999</v>
      </c>
      <c r="B137">
        <v>1.744</v>
      </c>
    </row>
    <row r="138" spans="1:2">
      <c r="A138" s="57">
        <f ca="1">ROUND(_xll.RiskNormal(1.75,0.07),3)</f>
        <v>1.782</v>
      </c>
      <c r="B138">
        <v>1.7310000000000001</v>
      </c>
    </row>
    <row r="139" spans="1:2">
      <c r="A139" s="57">
        <f ca="1">ROUND(_xll.RiskNormal(1.75,0.07),3)</f>
        <v>1.734</v>
      </c>
      <c r="B139">
        <v>1.72</v>
      </c>
    </row>
    <row r="140" spans="1:2">
      <c r="A140" s="57">
        <f ca="1">ROUND(_xll.RiskNormal(1.75,0.07),3)</f>
        <v>1.831</v>
      </c>
      <c r="B140">
        <v>1.802</v>
      </c>
    </row>
    <row r="141" spans="1:2">
      <c r="A141" s="57">
        <f ca="1">ROUND(_xll.RiskNormal(1.75,0.07),3)</f>
        <v>1.579</v>
      </c>
      <c r="B141">
        <v>1.756</v>
      </c>
    </row>
    <row r="142" spans="1:2">
      <c r="A142" s="57">
        <f ca="1">ROUND(_xll.RiskNormal(1.75,0.07),3)</f>
        <v>1.758</v>
      </c>
      <c r="B142">
        <v>1.7030000000000001</v>
      </c>
    </row>
    <row r="143" spans="1:2">
      <c r="A143" s="57">
        <f ca="1">ROUND(_xll.RiskNormal(1.75,0.07),3)</f>
        <v>1.8620000000000001</v>
      </c>
      <c r="B143">
        <v>1.71</v>
      </c>
    </row>
    <row r="144" spans="1:2">
      <c r="A144" s="57">
        <f ca="1">ROUND(_xll.RiskNormal(1.75,0.07),3)</f>
        <v>1.855</v>
      </c>
      <c r="B144">
        <v>1.778</v>
      </c>
    </row>
    <row r="145" spans="1:2">
      <c r="A145" s="57">
        <f ca="1">ROUND(_xll.RiskNormal(1.75,0.07),3)</f>
        <v>1.6890000000000001</v>
      </c>
      <c r="B145">
        <v>1.669</v>
      </c>
    </row>
    <row r="146" spans="1:2">
      <c r="A146" s="57">
        <f ca="1">ROUND(_xll.RiskNormal(1.75,0.07),3)</f>
        <v>1.6970000000000001</v>
      </c>
      <c r="B146">
        <v>1.873</v>
      </c>
    </row>
    <row r="147" spans="1:2">
      <c r="A147" s="57">
        <f ca="1">ROUND(_xll.RiskNormal(1.75,0.07),3)</f>
        <v>1.7470000000000001</v>
      </c>
      <c r="B147">
        <v>1.78</v>
      </c>
    </row>
    <row r="148" spans="1:2">
      <c r="A148" s="57">
        <f ca="1">ROUND(_xll.RiskNormal(1.75,0.07),3)</f>
        <v>1.6970000000000001</v>
      </c>
      <c r="B148">
        <v>1.5620000000000001</v>
      </c>
    </row>
    <row r="149" spans="1:2">
      <c r="A149" s="57">
        <f ca="1">ROUND(_xll.RiskNormal(1.75,0.07),3)</f>
        <v>1.679</v>
      </c>
      <c r="B149">
        <v>1.7829999999999999</v>
      </c>
    </row>
    <row r="150" spans="1:2">
      <c r="A150" s="57">
        <f ca="1">ROUND(_xll.RiskNormal(1.75,0.07),3)</f>
        <v>1.833</v>
      </c>
      <c r="B150">
        <v>1.7909999999999999</v>
      </c>
    </row>
    <row r="151" spans="1:2">
      <c r="A151" s="57">
        <f ca="1">ROUND(_xll.RiskNormal(1.75,0.07),3)</f>
        <v>1.82</v>
      </c>
      <c r="B151">
        <v>1.8280000000000001</v>
      </c>
    </row>
    <row r="152" spans="1:2">
      <c r="A152" s="57">
        <f ca="1">ROUND(_xll.RiskNormal(1.75,0.07),3)</f>
        <v>1.8540000000000001</v>
      </c>
      <c r="B152">
        <v>1.6639999999999999</v>
      </c>
    </row>
    <row r="153" spans="1:2">
      <c r="A153" s="57">
        <f ca="1">ROUND(_xll.RiskNormal(1.75,0.07),3)</f>
        <v>1.7430000000000001</v>
      </c>
      <c r="B153">
        <v>1.6719999999999999</v>
      </c>
    </row>
    <row r="154" spans="1:2">
      <c r="A154" s="57">
        <f ca="1">ROUND(_xll.RiskNormal(1.75,0.07),3)</f>
        <v>1.7390000000000001</v>
      </c>
      <c r="B154">
        <v>1.758</v>
      </c>
    </row>
    <row r="155" spans="1:2">
      <c r="A155" s="57">
        <f ca="1">ROUND(_xll.RiskNormal(1.75,0.07),3)</f>
        <v>1.7</v>
      </c>
      <c r="B155">
        <v>1.8089999999999999</v>
      </c>
    </row>
    <row r="156" spans="1:2">
      <c r="A156" s="57">
        <f ca="1">ROUND(_xll.RiskNormal(1.75,0.07),3)</f>
        <v>1.599</v>
      </c>
      <c r="B156">
        <v>1.7729999999999999</v>
      </c>
    </row>
    <row r="157" spans="1:2">
      <c r="A157" s="57">
        <f ca="1">ROUND(_xll.RiskNormal(1.75,0.07),3)</f>
        <v>1.6839999999999999</v>
      </c>
      <c r="B157">
        <v>1.8160000000000001</v>
      </c>
    </row>
    <row r="158" spans="1:2">
      <c r="A158" s="57">
        <f ca="1">ROUND(_xll.RiskNormal(1.75,0.07),3)</f>
        <v>1.7969999999999999</v>
      </c>
      <c r="B158">
        <v>1.7010000000000001</v>
      </c>
    </row>
    <row r="159" spans="1:2">
      <c r="A159" s="57">
        <f ca="1">ROUND(_xll.RiskNormal(1.75,0.07),3)</f>
        <v>1.7110000000000001</v>
      </c>
      <c r="B159">
        <v>1.776</v>
      </c>
    </row>
    <row r="160" spans="1:2">
      <c r="A160" s="57">
        <f ca="1">ROUND(_xll.RiskNormal(1.75,0.07),3)</f>
        <v>1.65</v>
      </c>
      <c r="B160">
        <v>1.8460000000000001</v>
      </c>
    </row>
    <row r="161" spans="1:2">
      <c r="A161" s="57">
        <f ca="1">ROUND(_xll.RiskNormal(1.75,0.07),3)</f>
        <v>1.75</v>
      </c>
      <c r="B161">
        <v>1.6919999999999999</v>
      </c>
    </row>
    <row r="162" spans="1:2">
      <c r="A162" s="57">
        <f ca="1">ROUND(_xll.RiskNormal(1.75,0.07),3)</f>
        <v>1.714</v>
      </c>
      <c r="B162">
        <v>1.772</v>
      </c>
    </row>
    <row r="163" spans="1:2">
      <c r="A163" s="57">
        <f ca="1">ROUND(_xll.RiskNormal(1.75,0.07),3)</f>
        <v>1.8340000000000001</v>
      </c>
      <c r="B163">
        <v>1.7050000000000001</v>
      </c>
    </row>
    <row r="164" spans="1:2">
      <c r="A164" s="57">
        <f ca="1">ROUND(_xll.RiskNormal(1.75,0.07),3)</f>
        <v>1.8580000000000001</v>
      </c>
      <c r="B164">
        <v>1.6990000000000001</v>
      </c>
    </row>
    <row r="165" spans="1:2">
      <c r="A165" s="57">
        <f ca="1">ROUND(_xll.RiskNormal(1.75,0.07),3)</f>
        <v>1.7170000000000001</v>
      </c>
      <c r="B165">
        <v>1.736</v>
      </c>
    </row>
    <row r="166" spans="1:2">
      <c r="A166" s="57">
        <f ca="1">ROUND(_xll.RiskNormal(1.75,0.07),3)</f>
        <v>1.895</v>
      </c>
      <c r="B166">
        <v>1.802</v>
      </c>
    </row>
    <row r="167" spans="1:2">
      <c r="A167" s="57">
        <f ca="1">ROUND(_xll.RiskNormal(1.75,0.07),3)</f>
        <v>1.7370000000000001</v>
      </c>
      <c r="B167">
        <v>1.7569999999999999</v>
      </c>
    </row>
    <row r="168" spans="1:2">
      <c r="A168" s="57">
        <f ca="1">ROUND(_xll.RiskNormal(1.75,0.07),3)</f>
        <v>1.65</v>
      </c>
      <c r="B168">
        <v>1.6619999999999999</v>
      </c>
    </row>
    <row r="169" spans="1:2">
      <c r="A169" s="57">
        <f ca="1">ROUND(_xll.RiskNormal(1.75,0.07),3)</f>
        <v>1.75</v>
      </c>
      <c r="B169">
        <v>1.746</v>
      </c>
    </row>
    <row r="170" spans="1:2">
      <c r="A170" s="57">
        <f ca="1">ROUND(_xll.RiskNormal(1.75,0.07),3)</f>
        <v>1.722</v>
      </c>
      <c r="B170">
        <v>1.76</v>
      </c>
    </row>
    <row r="171" spans="1:2">
      <c r="A171" s="57">
        <f ca="1">ROUND(_xll.RiskNormal(1.75,0.07),3)</f>
        <v>1.772</v>
      </c>
      <c r="B171">
        <v>1.744</v>
      </c>
    </row>
    <row r="172" spans="1:2">
      <c r="A172" s="57">
        <f ca="1">ROUND(_xll.RiskNormal(1.75,0.07),3)</f>
        <v>1.792</v>
      </c>
      <c r="B172">
        <v>1.6579999999999999</v>
      </c>
    </row>
    <row r="173" spans="1:2">
      <c r="A173" s="57">
        <f ca="1">ROUND(_xll.RiskNormal(1.75,0.07),3)</f>
        <v>1.6819999999999999</v>
      </c>
      <c r="B173">
        <v>1.82</v>
      </c>
    </row>
    <row r="174" spans="1:2">
      <c r="A174" s="57">
        <f ca="1">ROUND(_xll.RiskNormal(1.75,0.07),3)</f>
        <v>1.7070000000000001</v>
      </c>
      <c r="B174">
        <v>1.764</v>
      </c>
    </row>
    <row r="175" spans="1:2">
      <c r="A175" s="57">
        <f ca="1">ROUND(_xll.RiskNormal(1.75,0.07),3)</f>
        <v>1.821</v>
      </c>
      <c r="B175">
        <v>1.829</v>
      </c>
    </row>
    <row r="176" spans="1:2">
      <c r="A176" s="57">
        <f ca="1">ROUND(_xll.RiskNormal(1.75,0.07),3)</f>
        <v>1.8440000000000001</v>
      </c>
      <c r="B176">
        <v>1.7030000000000001</v>
      </c>
    </row>
    <row r="177" spans="1:2">
      <c r="A177" s="57">
        <f ca="1">ROUND(_xll.RiskNormal(1.75,0.07),3)</f>
        <v>1.8839999999999999</v>
      </c>
      <c r="B177">
        <v>1.8129999999999999</v>
      </c>
    </row>
    <row r="178" spans="1:2">
      <c r="A178" s="57">
        <f ca="1">ROUND(_xll.RiskNormal(1.75,0.07),3)</f>
        <v>1.8420000000000001</v>
      </c>
      <c r="B178">
        <v>1.7769999999999999</v>
      </c>
    </row>
    <row r="179" spans="1:2">
      <c r="A179" s="57">
        <f ca="1">ROUND(_xll.RiskNormal(1.75,0.07),3)</f>
        <v>1.76</v>
      </c>
      <c r="B179">
        <v>1.831</v>
      </c>
    </row>
    <row r="180" spans="1:2">
      <c r="A180" s="57">
        <f ca="1">ROUND(_xll.RiskNormal(1.75,0.07),3)</f>
        <v>1.706</v>
      </c>
      <c r="B180">
        <v>1.79</v>
      </c>
    </row>
    <row r="181" spans="1:2">
      <c r="A181" s="57">
        <f ca="1">ROUND(_xll.RiskNormal(1.75,0.07),3)</f>
        <v>1.758</v>
      </c>
      <c r="B181">
        <v>1.7629999999999999</v>
      </c>
    </row>
    <row r="182" spans="1:2">
      <c r="A182" s="57">
        <f ca="1">ROUND(_xll.RiskNormal(1.75,0.07),3)</f>
        <v>1.7130000000000001</v>
      </c>
      <c r="B182">
        <v>1.754</v>
      </c>
    </row>
    <row r="183" spans="1:2">
      <c r="A183" s="57">
        <f ca="1">ROUND(_xll.RiskNormal(1.75,0.07),3)</f>
        <v>1.7490000000000001</v>
      </c>
      <c r="B183">
        <v>1.8759999999999999</v>
      </c>
    </row>
    <row r="184" spans="1:2">
      <c r="A184" s="57">
        <f ca="1">ROUND(_xll.RiskNormal(1.75,0.07),3)</f>
        <v>1.754</v>
      </c>
      <c r="B184">
        <v>1.778</v>
      </c>
    </row>
    <row r="185" spans="1:2">
      <c r="A185" s="57">
        <f ca="1">ROUND(_xll.RiskNormal(1.75,0.07),3)</f>
        <v>1.736</v>
      </c>
      <c r="B185">
        <v>1.7689999999999999</v>
      </c>
    </row>
    <row r="186" spans="1:2">
      <c r="A186" s="57">
        <f ca="1">ROUND(_xll.RiskNormal(1.75,0.07),3)</f>
        <v>1.754</v>
      </c>
      <c r="B186">
        <v>1.8120000000000001</v>
      </c>
    </row>
    <row r="187" spans="1:2">
      <c r="A187" s="57">
        <f ca="1">ROUND(_xll.RiskNormal(1.75,0.07),3)</f>
        <v>1.8340000000000001</v>
      </c>
      <c r="B187">
        <v>1.768</v>
      </c>
    </row>
    <row r="188" spans="1:2">
      <c r="A188" s="57">
        <f ca="1">ROUND(_xll.RiskNormal(1.75,0.07),3)</f>
        <v>1.958</v>
      </c>
      <c r="B188">
        <v>1.8109999999999999</v>
      </c>
    </row>
    <row r="189" spans="1:2">
      <c r="A189" s="57">
        <f ca="1">ROUND(_xll.RiskNormal(1.75,0.07),3)</f>
        <v>1.778</v>
      </c>
      <c r="B189">
        <v>1.7170000000000001</v>
      </c>
    </row>
    <row r="190" spans="1:2">
      <c r="A190" s="57">
        <f ca="1">ROUND(_xll.RiskNormal(1.75,0.07),3)</f>
        <v>1.615</v>
      </c>
      <c r="B190">
        <v>1.7709999999999999</v>
      </c>
    </row>
    <row r="191" spans="1:2">
      <c r="A191" s="57">
        <f ca="1">ROUND(_xll.RiskNormal(1.75,0.07),3)</f>
        <v>1.859</v>
      </c>
      <c r="B191">
        <v>1.7829999999999999</v>
      </c>
    </row>
    <row r="192" spans="1:2">
      <c r="A192" s="57">
        <f ca="1">ROUND(_xll.RiskNormal(1.75,0.07),3)</f>
        <v>1.6859999999999999</v>
      </c>
      <c r="B192">
        <v>1.7410000000000001</v>
      </c>
    </row>
    <row r="193" spans="1:2">
      <c r="A193" s="57">
        <f ca="1">ROUND(_xll.RiskNormal(1.75,0.07),3)</f>
        <v>1.696</v>
      </c>
      <c r="B193">
        <v>1.6359999999999999</v>
      </c>
    </row>
    <row r="194" spans="1:2">
      <c r="A194" s="57">
        <f ca="1">ROUND(_xll.RiskNormal(1.75,0.07),3)</f>
        <v>1.704</v>
      </c>
      <c r="B194">
        <v>1.734</v>
      </c>
    </row>
    <row r="195" spans="1:2">
      <c r="A195" s="57">
        <f ca="1">ROUND(_xll.RiskNormal(1.75,0.07),3)</f>
        <v>1.7649999999999999</v>
      </c>
      <c r="B195">
        <v>1.673</v>
      </c>
    </row>
    <row r="196" spans="1:2">
      <c r="A196" s="57">
        <f ca="1">ROUND(_xll.RiskNormal(1.75,0.07),3)</f>
        <v>1.764</v>
      </c>
      <c r="B196">
        <v>1.83</v>
      </c>
    </row>
    <row r="197" spans="1:2">
      <c r="A197" s="57">
        <f ca="1">ROUND(_xll.RiskNormal(1.75,0.07),3)</f>
        <v>1.7809999999999999</v>
      </c>
      <c r="B197">
        <v>1.671</v>
      </c>
    </row>
    <row r="198" spans="1:2">
      <c r="A198" s="57">
        <f ca="1">ROUND(_xll.RiskNormal(1.75,0.07),3)</f>
        <v>1.8620000000000001</v>
      </c>
      <c r="B198">
        <v>1.7869999999999999</v>
      </c>
    </row>
    <row r="199" spans="1:2">
      <c r="A199" s="57">
        <f ca="1">ROUND(_xll.RiskNormal(1.75,0.07),3)</f>
        <v>1.794</v>
      </c>
      <c r="B199">
        <v>1.778</v>
      </c>
    </row>
    <row r="200" spans="1:2">
      <c r="A200" s="57">
        <f ca="1">ROUND(_xll.RiskNormal(1.75,0.07),3)</f>
        <v>1.77</v>
      </c>
      <c r="B200">
        <v>1.6870000000000001</v>
      </c>
    </row>
    <row r="201" spans="1:2">
      <c r="A201" s="57">
        <f ca="1">ROUND(_xll.RiskNormal(1.75,0.07),3)</f>
        <v>1.655</v>
      </c>
      <c r="B201">
        <v>1.6850000000000001</v>
      </c>
    </row>
    <row r="202" spans="1:2">
      <c r="A202" s="57">
        <f ca="1">ROUND(_xll.RiskNormal(1.75,0.07),3)</f>
        <v>1.837</v>
      </c>
      <c r="B202">
        <v>1.762</v>
      </c>
    </row>
    <row r="203" spans="1:2">
      <c r="A203" s="57">
        <f ca="1">ROUND(_xll.RiskNormal(1.75,0.07),3)</f>
        <v>1.8</v>
      </c>
      <c r="B203">
        <v>1.7210000000000001</v>
      </c>
    </row>
    <row r="204" spans="1:2">
      <c r="A204" s="57">
        <f ca="1">ROUND(_xll.RiskNormal(1.75,0.07),3)</f>
        <v>1.7549999999999999</v>
      </c>
      <c r="B204">
        <v>1.843</v>
      </c>
    </row>
    <row r="205" spans="1:2">
      <c r="A205" s="57">
        <f ca="1">ROUND(_xll.RiskNormal(1.75,0.07),3)</f>
        <v>1.734</v>
      </c>
      <c r="B205">
        <v>1.631</v>
      </c>
    </row>
    <row r="206" spans="1:2">
      <c r="A206" s="57">
        <f ca="1">ROUND(_xll.RiskNormal(1.75,0.07),3)</f>
        <v>1.6990000000000001</v>
      </c>
      <c r="B206">
        <v>1.6779999999999999</v>
      </c>
    </row>
    <row r="207" spans="1:2">
      <c r="A207" s="57">
        <f ca="1">ROUND(_xll.RiskNormal(1.75,0.07),3)</f>
        <v>1.8140000000000001</v>
      </c>
      <c r="B207">
        <v>1.6990000000000001</v>
      </c>
    </row>
    <row r="208" spans="1:2">
      <c r="A208" s="57">
        <f ca="1">ROUND(_xll.RiskNormal(1.75,0.07),3)</f>
        <v>1.7330000000000001</v>
      </c>
      <c r="B208">
        <v>1.821</v>
      </c>
    </row>
    <row r="209" spans="1:2">
      <c r="A209" s="57">
        <f ca="1">ROUND(_xll.RiskNormal(1.75,0.07),3)</f>
        <v>1.8049999999999999</v>
      </c>
      <c r="B209">
        <v>1.8759999999999999</v>
      </c>
    </row>
    <row r="210" spans="1:2">
      <c r="A210" s="57">
        <f ca="1">ROUND(_xll.RiskNormal(1.75,0.07),3)</f>
        <v>1.6259999999999999</v>
      </c>
      <c r="B210">
        <v>1.8140000000000001</v>
      </c>
    </row>
    <row r="211" spans="1:2">
      <c r="A211" s="57">
        <f ca="1">ROUND(_xll.RiskNormal(1.75,0.07),3)</f>
        <v>1.887</v>
      </c>
      <c r="B211">
        <v>1.752</v>
      </c>
    </row>
    <row r="212" spans="1:2">
      <c r="A212" s="57">
        <f ca="1">ROUND(_xll.RiskNormal(1.75,0.07),3)</f>
        <v>1.6850000000000001</v>
      </c>
      <c r="B212">
        <v>1.75</v>
      </c>
    </row>
    <row r="213" spans="1:2">
      <c r="A213" s="57">
        <f ca="1">ROUND(_xll.RiskNormal(1.75,0.07),3)</f>
        <v>1.776</v>
      </c>
      <c r="B213">
        <v>1.6779999999999999</v>
      </c>
    </row>
    <row r="214" spans="1:2">
      <c r="A214" s="57">
        <f ca="1">ROUND(_xll.RiskNormal(1.75,0.07),3)</f>
        <v>1.6830000000000001</v>
      </c>
      <c r="B214">
        <v>1.625</v>
      </c>
    </row>
    <row r="215" spans="1:2">
      <c r="A215" s="57">
        <f ca="1">ROUND(_xll.RiskNormal(1.75,0.07),3)</f>
        <v>1.7769999999999999</v>
      </c>
      <c r="B215">
        <v>1.754</v>
      </c>
    </row>
    <row r="216" spans="1:2">
      <c r="A216" s="57">
        <f ca="1">ROUND(_xll.RiskNormal(1.75,0.07),3)</f>
        <v>1.73</v>
      </c>
      <c r="B216">
        <v>1.677</v>
      </c>
    </row>
    <row r="217" spans="1:2">
      <c r="A217" s="57">
        <f ca="1">ROUND(_xll.RiskNormal(1.75,0.07),3)</f>
        <v>1.68</v>
      </c>
      <c r="B217">
        <v>1.861</v>
      </c>
    </row>
    <row r="218" spans="1:2">
      <c r="A218" s="57">
        <f ca="1">ROUND(_xll.RiskNormal(1.75,0.07),3)</f>
        <v>1.708</v>
      </c>
      <c r="B218">
        <v>1.85</v>
      </c>
    </row>
    <row r="219" spans="1:2">
      <c r="A219" s="57">
        <f ca="1">ROUND(_xll.RiskNormal(1.75,0.07),3)</f>
        <v>1.698</v>
      </c>
      <c r="B219">
        <v>1.827</v>
      </c>
    </row>
    <row r="220" spans="1:2">
      <c r="A220" s="57">
        <f ca="1">ROUND(_xll.RiskNormal(1.75,0.07),3)</f>
        <v>1.623</v>
      </c>
      <c r="B220">
        <v>1.631</v>
      </c>
    </row>
    <row r="221" spans="1:2">
      <c r="A221" s="57">
        <f ca="1">ROUND(_xll.RiskNormal(1.75,0.07),3)</f>
        <v>1.7609999999999999</v>
      </c>
      <c r="B221">
        <v>1.7310000000000001</v>
      </c>
    </row>
    <row r="222" spans="1:2">
      <c r="A222" s="57">
        <f ca="1">ROUND(_xll.RiskNormal(1.75,0.07),3)</f>
        <v>1.8320000000000001</v>
      </c>
      <c r="B222">
        <v>1.7270000000000001</v>
      </c>
    </row>
    <row r="223" spans="1:2">
      <c r="A223" s="57">
        <f ca="1">ROUND(_xll.RiskNormal(1.75,0.07),3)</f>
        <v>1.6519999999999999</v>
      </c>
      <c r="B223">
        <v>1.71</v>
      </c>
    </row>
    <row r="224" spans="1:2">
      <c r="A224" s="57">
        <f ca="1">ROUND(_xll.RiskNormal(1.75,0.07),3)</f>
        <v>1.7470000000000001</v>
      </c>
      <c r="B224">
        <v>1.7709999999999999</v>
      </c>
    </row>
    <row r="225" spans="1:2">
      <c r="A225" s="57">
        <f ca="1">ROUND(_xll.RiskNormal(1.75,0.07),3)</f>
        <v>1.7669999999999999</v>
      </c>
      <c r="B225">
        <v>1.8</v>
      </c>
    </row>
    <row r="226" spans="1:2">
      <c r="A226" s="57">
        <f ca="1">ROUND(_xll.RiskNormal(1.75,0.07),3)</f>
        <v>1.6859999999999999</v>
      </c>
      <c r="B226">
        <v>1.69</v>
      </c>
    </row>
    <row r="227" spans="1:2">
      <c r="A227" s="57">
        <f ca="1">ROUND(_xll.RiskNormal(1.75,0.07),3)</f>
        <v>1.6830000000000001</v>
      </c>
      <c r="B227">
        <v>1.7010000000000001</v>
      </c>
    </row>
    <row r="228" spans="1:2">
      <c r="A228" s="57">
        <f ca="1">ROUND(_xll.RiskNormal(1.75,0.07),3)</f>
        <v>1.708</v>
      </c>
      <c r="B228">
        <v>1.895</v>
      </c>
    </row>
    <row r="229" spans="1:2">
      <c r="A229" s="57">
        <f ca="1">ROUND(_xll.RiskNormal(1.75,0.07),3)</f>
        <v>1.641</v>
      </c>
      <c r="B229">
        <v>1.704</v>
      </c>
    </row>
    <row r="230" spans="1:2">
      <c r="A230" s="57">
        <f ca="1">ROUND(_xll.RiskNormal(1.75,0.07),3)</f>
        <v>1.7230000000000001</v>
      </c>
      <c r="B230">
        <v>1.679</v>
      </c>
    </row>
    <row r="231" spans="1:2">
      <c r="A231" s="57">
        <f ca="1">ROUND(_xll.RiskNormal(1.75,0.07),3)</f>
        <v>1.7230000000000001</v>
      </c>
      <c r="B231">
        <v>1.6539999999999999</v>
      </c>
    </row>
    <row r="232" spans="1:2">
      <c r="A232" s="57">
        <f ca="1">ROUND(_xll.RiskNormal(1.75,0.07),3)</f>
        <v>1.8220000000000001</v>
      </c>
      <c r="B232">
        <v>1.7569999999999999</v>
      </c>
    </row>
    <row r="233" spans="1:2">
      <c r="A233" s="57">
        <f ca="1">ROUND(_xll.RiskNormal(1.75,0.07),3)</f>
        <v>1.74</v>
      </c>
      <c r="B233">
        <v>1.827</v>
      </c>
    </row>
    <row r="234" spans="1:2">
      <c r="A234" s="57">
        <f ca="1">ROUND(_xll.RiskNormal(1.75,0.07),3)</f>
        <v>1.774</v>
      </c>
      <c r="B234">
        <v>1.7709999999999999</v>
      </c>
    </row>
    <row r="235" spans="1:2">
      <c r="A235" s="57">
        <f ca="1">ROUND(_xll.RiskNormal(1.75,0.07),3)</f>
        <v>1.631</v>
      </c>
      <c r="B235">
        <v>1.7410000000000001</v>
      </c>
    </row>
    <row r="236" spans="1:2">
      <c r="A236" s="57">
        <f ca="1">ROUND(_xll.RiskNormal(1.75,0.07),3)</f>
        <v>1.635</v>
      </c>
      <c r="B236">
        <v>1.6990000000000001</v>
      </c>
    </row>
    <row r="237" spans="1:2">
      <c r="A237" s="57">
        <f ca="1">ROUND(_xll.RiskNormal(1.75,0.07),3)</f>
        <v>1.6759999999999999</v>
      </c>
      <c r="B237">
        <v>1.7609999999999999</v>
      </c>
    </row>
    <row r="238" spans="1:2">
      <c r="A238" s="57">
        <f ca="1">ROUND(_xll.RiskNormal(1.75,0.07),3)</f>
        <v>1.74</v>
      </c>
      <c r="B238">
        <v>1.744</v>
      </c>
    </row>
    <row r="239" spans="1:2">
      <c r="A239" s="57">
        <f ca="1">ROUND(_xll.RiskNormal(1.75,0.07),3)</f>
        <v>1.8069999999999999</v>
      </c>
      <c r="B239">
        <v>1.794</v>
      </c>
    </row>
    <row r="240" spans="1:2">
      <c r="A240" s="57">
        <f ca="1">ROUND(_xll.RiskNormal(1.75,0.07),3)</f>
        <v>1.794</v>
      </c>
      <c r="B240">
        <v>1.748</v>
      </c>
    </row>
    <row r="241" spans="1:2">
      <c r="A241" s="57">
        <f ca="1">ROUND(_xll.RiskNormal(1.75,0.07),3)</f>
        <v>1.738</v>
      </c>
      <c r="B241">
        <v>1.8080000000000001</v>
      </c>
    </row>
    <row r="242" spans="1:2">
      <c r="A242" s="57">
        <f ca="1">ROUND(_xll.RiskNormal(1.75,0.07),3)</f>
        <v>1.681</v>
      </c>
      <c r="B242">
        <v>1.8009999999999999</v>
      </c>
    </row>
    <row r="243" spans="1:2">
      <c r="A243" s="57">
        <f ca="1">ROUND(_xll.RiskNormal(1.75,0.07),3)</f>
        <v>1.7949999999999999</v>
      </c>
      <c r="B243">
        <v>1.7410000000000001</v>
      </c>
    </row>
    <row r="244" spans="1:2">
      <c r="A244" s="57">
        <f ca="1">ROUND(_xll.RiskNormal(1.75,0.07),3)</f>
        <v>1.6859999999999999</v>
      </c>
      <c r="B244">
        <v>1.774</v>
      </c>
    </row>
    <row r="245" spans="1:2">
      <c r="A245" s="57">
        <f ca="1">ROUND(_xll.RiskNormal(1.75,0.07),3)</f>
        <v>1.69</v>
      </c>
      <c r="B245">
        <v>1.6870000000000001</v>
      </c>
    </row>
    <row r="246" spans="1:2">
      <c r="A246" s="57">
        <f ca="1">ROUND(_xll.RiskNormal(1.75,0.07),3)</f>
        <v>1.7849999999999999</v>
      </c>
      <c r="B246">
        <v>1.744</v>
      </c>
    </row>
    <row r="247" spans="1:2">
      <c r="A247" s="57">
        <f ca="1">ROUND(_xll.RiskNormal(1.75,0.07),3)</f>
        <v>1.667</v>
      </c>
      <c r="B247">
        <v>1.8160000000000001</v>
      </c>
    </row>
    <row r="248" spans="1:2">
      <c r="A248" s="57">
        <f ca="1">ROUND(_xll.RiskNormal(1.75,0.07),3)</f>
        <v>1.7490000000000001</v>
      </c>
      <c r="B248">
        <v>1.78</v>
      </c>
    </row>
    <row r="249" spans="1:2">
      <c r="A249" s="57">
        <f ca="1">ROUND(_xll.RiskNormal(1.75,0.07),3)</f>
        <v>1.766</v>
      </c>
      <c r="B249">
        <v>1.619</v>
      </c>
    </row>
    <row r="250" spans="1:2">
      <c r="A250" s="57">
        <f ca="1">ROUND(_xll.RiskNormal(1.75,0.07),3)</f>
        <v>1.8320000000000001</v>
      </c>
      <c r="B250">
        <v>1.742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5"/>
  <sheetViews>
    <sheetView zoomScale="118" zoomScaleNormal="118" workbookViewId="0">
      <selection activeCell="B13" sqref="B13"/>
    </sheetView>
  </sheetViews>
  <sheetFormatPr baseColWidth="10" defaultRowHeight="13.2"/>
  <cols>
    <col min="2" max="2" width="12" bestFit="1" customWidth="1"/>
  </cols>
  <sheetData>
    <row r="1" spans="1:9">
      <c r="A1" t="s">
        <v>22</v>
      </c>
      <c r="B1">
        <v>400</v>
      </c>
      <c r="D1" s="74" t="s">
        <v>23</v>
      </c>
      <c r="I1" t="str">
        <f>'Exemple 1 - Définition de R'!D2</f>
        <v>Lecture P(X&gt;114)= 4,86%</v>
      </c>
    </row>
    <row r="2" spans="1:9">
      <c r="A2" t="s">
        <v>24</v>
      </c>
      <c r="B2" s="28">
        <v>0.25</v>
      </c>
      <c r="D2" t="s">
        <v>25</v>
      </c>
      <c r="F2" s="111" t="s">
        <v>94</v>
      </c>
      <c r="G2" s="112"/>
      <c r="H2" s="112"/>
      <c r="I2" s="83">
        <f>CRITBINOM(B1,B2,95%)</f>
        <v>114</v>
      </c>
    </row>
    <row r="3" spans="1:9" ht="31.5" customHeight="1">
      <c r="A3" s="109" t="s">
        <v>26</v>
      </c>
      <c r="B3" s="110"/>
      <c r="C3" s="110"/>
      <c r="D3" t="s">
        <v>27</v>
      </c>
    </row>
    <row r="4" spans="1:9" ht="41.25" customHeight="1">
      <c r="A4" s="75" t="s">
        <v>18</v>
      </c>
      <c r="B4" s="75" t="s">
        <v>28</v>
      </c>
      <c r="C4" s="39" t="s">
        <v>29</v>
      </c>
    </row>
    <row r="5" spans="1:9" ht="14.4">
      <c r="A5" s="39">
        <v>0</v>
      </c>
      <c r="B5" s="76">
        <f>BINOMDIST(A5,$B$1,$B$2,1)</f>
        <v>1.058047966103216E-50</v>
      </c>
      <c r="C5" s="77">
        <f>1-B5</f>
        <v>1</v>
      </c>
      <c r="E5">
        <f>CRITBINOM(B1,B2,95%)</f>
        <v>114</v>
      </c>
    </row>
    <row r="6" spans="1:9" ht="14.4">
      <c r="A6" s="39">
        <v>1</v>
      </c>
      <c r="B6" s="76">
        <f t="shared" ref="B6:B69" si="0">BINOMDIST(A6,$B$1,$B$2,1)</f>
        <v>1.4213111011319842E-48</v>
      </c>
      <c r="C6" s="77">
        <f t="shared" ref="C6:C69" si="1">1-B6</f>
        <v>1</v>
      </c>
    </row>
    <row r="7" spans="1:9" ht="14.4">
      <c r="A7" s="39">
        <v>2</v>
      </c>
      <c r="B7" s="76">
        <f t="shared" si="0"/>
        <v>9.5234897428950865E-47</v>
      </c>
      <c r="C7" s="77">
        <f t="shared" si="1"/>
        <v>1</v>
      </c>
    </row>
    <row r="8" spans="1:9" ht="14.4">
      <c r="A8" s="39">
        <v>3</v>
      </c>
      <c r="B8" s="76">
        <f t="shared" si="0"/>
        <v>4.2438801594813517E-45</v>
      </c>
      <c r="C8" s="77">
        <f t="shared" si="1"/>
        <v>1</v>
      </c>
    </row>
    <row r="9" spans="1:9" ht="14.4">
      <c r="A9" s="39">
        <v>4</v>
      </c>
      <c r="B9" s="76">
        <f t="shared" si="0"/>
        <v>1.4149489424571586E-43</v>
      </c>
      <c r="C9" s="77">
        <f t="shared" si="1"/>
        <v>1</v>
      </c>
    </row>
    <row r="10" spans="1:9" ht="14.4">
      <c r="A10" s="39">
        <v>5</v>
      </c>
      <c r="B10" s="76">
        <f t="shared" si="0"/>
        <v>3.7649216661222753E-42</v>
      </c>
      <c r="C10" s="77">
        <f t="shared" si="1"/>
        <v>1</v>
      </c>
    </row>
    <row r="11" spans="1:9" ht="14.4">
      <c r="A11" s="39">
        <v>6</v>
      </c>
      <c r="B11" s="76">
        <f t="shared" si="0"/>
        <v>8.327900916008061E-41</v>
      </c>
      <c r="C11" s="77">
        <f t="shared" si="1"/>
        <v>1</v>
      </c>
    </row>
    <row r="12" spans="1:9" ht="14.4">
      <c r="A12" s="39">
        <v>7</v>
      </c>
      <c r="B12" s="76">
        <f t="shared" si="0"/>
        <v>1.5751147459514768E-39</v>
      </c>
      <c r="C12" s="77">
        <f t="shared" si="1"/>
        <v>1</v>
      </c>
    </row>
    <row r="13" spans="1:9" ht="14.4">
      <c r="A13" s="39">
        <v>8</v>
      </c>
      <c r="B13" s="76">
        <f t="shared" si="0"/>
        <v>2.6003924935910745E-38</v>
      </c>
      <c r="C13" s="77">
        <f t="shared" si="1"/>
        <v>1</v>
      </c>
    </row>
    <row r="14" spans="1:9" ht="14.4">
      <c r="A14" s="39">
        <v>9</v>
      </c>
      <c r="B14" s="76">
        <f t="shared" si="0"/>
        <v>3.8067405806421071E-37</v>
      </c>
      <c r="C14" s="77">
        <f t="shared" si="1"/>
        <v>1</v>
      </c>
    </row>
    <row r="15" spans="1:9" ht="14.4">
      <c r="A15" s="39">
        <v>10</v>
      </c>
      <c r="B15" s="76">
        <f t="shared" si="0"/>
        <v>5.0032081265030069E-36</v>
      </c>
      <c r="C15" s="77">
        <f t="shared" si="1"/>
        <v>1</v>
      </c>
    </row>
    <row r="16" spans="1:9" ht="14.4">
      <c r="A16" s="39">
        <v>11</v>
      </c>
      <c r="B16" s="76">
        <f t="shared" si="0"/>
        <v>5.9633156208052805E-35</v>
      </c>
      <c r="C16" s="77">
        <f t="shared" si="1"/>
        <v>1</v>
      </c>
    </row>
    <row r="17" spans="1:3" ht="14.4">
      <c r="A17" s="39">
        <v>12</v>
      </c>
      <c r="B17" s="76">
        <f t="shared" si="0"/>
        <v>6.4994009520034936E-34</v>
      </c>
      <c r="C17" s="77">
        <f t="shared" si="1"/>
        <v>1</v>
      </c>
    </row>
    <row r="18" spans="1:3" ht="14.4">
      <c r="A18" s="39">
        <v>13</v>
      </c>
      <c r="B18" s="76">
        <f t="shared" si="0"/>
        <v>6.5227373344058151E-33</v>
      </c>
      <c r="C18" s="77">
        <f t="shared" si="1"/>
        <v>1</v>
      </c>
    </row>
    <row r="19" spans="1:3" ht="14.4">
      <c r="A19" s="39">
        <v>14</v>
      </c>
      <c r="B19" s="76">
        <f t="shared" si="0"/>
        <v>6.0636369038512802E-32</v>
      </c>
      <c r="C19" s="77">
        <f t="shared" si="1"/>
        <v>1</v>
      </c>
    </row>
    <row r="20" spans="1:3" ht="14.4">
      <c r="A20" s="39">
        <v>15</v>
      </c>
      <c r="B20" s="76">
        <f t="shared" si="0"/>
        <v>5.2481107654485617E-31</v>
      </c>
      <c r="C20" s="77">
        <f t="shared" si="1"/>
        <v>1</v>
      </c>
    </row>
    <row r="21" spans="1:3" ht="14.4">
      <c r="A21" s="39">
        <v>16</v>
      </c>
      <c r="B21" s="76">
        <f t="shared" si="0"/>
        <v>4.2478790430020067E-30</v>
      </c>
      <c r="C21" s="77">
        <f t="shared" si="1"/>
        <v>1</v>
      </c>
    </row>
    <row r="22" spans="1:3" ht="14.4">
      <c r="A22" s="39">
        <v>17</v>
      </c>
      <c r="B22" s="76">
        <f t="shared" si="0"/>
        <v>3.2280390790443768E-29</v>
      </c>
      <c r="C22" s="77">
        <f t="shared" si="1"/>
        <v>1</v>
      </c>
    </row>
    <row r="23" spans="1:3" ht="14.4">
      <c r="A23" s="39">
        <v>18</v>
      </c>
      <c r="B23" s="76">
        <f t="shared" si="0"/>
        <v>2.311035759621158E-28</v>
      </c>
      <c r="C23" s="77">
        <f t="shared" si="1"/>
        <v>1</v>
      </c>
    </row>
    <row r="24" spans="1:3" ht="14.4">
      <c r="A24" s="39">
        <v>19</v>
      </c>
      <c r="B24" s="76">
        <f t="shared" si="0"/>
        <v>1.5635677292178677E-27</v>
      </c>
      <c r="C24" s="77">
        <f t="shared" si="1"/>
        <v>1</v>
      </c>
    </row>
    <row r="25" spans="1:3" ht="14.4">
      <c r="A25" s="39">
        <v>20</v>
      </c>
      <c r="B25" s="76">
        <f t="shared" si="0"/>
        <v>1.0024715102391969E-26</v>
      </c>
      <c r="C25" s="77">
        <f t="shared" si="1"/>
        <v>1</v>
      </c>
    </row>
    <row r="26" spans="1:3" ht="14.4">
      <c r="A26" s="39">
        <v>21</v>
      </c>
      <c r="B26" s="76">
        <f t="shared" si="0"/>
        <v>6.1060207194552643E-26</v>
      </c>
      <c r="C26" s="77">
        <f t="shared" si="1"/>
        <v>1</v>
      </c>
    </row>
    <row r="27" spans="1:3" ht="14.4">
      <c r="A27" s="39">
        <v>22</v>
      </c>
      <c r="B27" s="76">
        <f t="shared" si="0"/>
        <v>3.5412765420862954E-25</v>
      </c>
      <c r="C27" s="77">
        <f t="shared" si="1"/>
        <v>1</v>
      </c>
    </row>
    <row r="28" spans="1:3" ht="14.4">
      <c r="A28" s="39">
        <v>23</v>
      </c>
      <c r="B28" s="76">
        <f t="shared" si="0"/>
        <v>1.9596275813292341E-24</v>
      </c>
      <c r="C28" s="77">
        <f t="shared" si="1"/>
        <v>1</v>
      </c>
    </row>
    <row r="29" spans="1:3" ht="14.4">
      <c r="A29" s="39">
        <v>24</v>
      </c>
      <c r="B29" s="76">
        <f t="shared" si="0"/>
        <v>1.0366203588613415E-23</v>
      </c>
      <c r="C29" s="77">
        <f t="shared" si="1"/>
        <v>1</v>
      </c>
    </row>
    <row r="30" spans="1:3" ht="14.4">
      <c r="A30" s="39">
        <v>25</v>
      </c>
      <c r="B30" s="76">
        <f t="shared" si="0"/>
        <v>5.2511171305131964E-23</v>
      </c>
      <c r="C30" s="77">
        <f t="shared" si="1"/>
        <v>1</v>
      </c>
    </row>
    <row r="31" spans="1:3" ht="14.4">
      <c r="A31" s="39">
        <v>26</v>
      </c>
      <c r="B31" s="76">
        <f t="shared" si="0"/>
        <v>2.5513120840377568E-22</v>
      </c>
      <c r="C31" s="77">
        <f t="shared" si="1"/>
        <v>1</v>
      </c>
    </row>
    <row r="32" spans="1:3" ht="14.4">
      <c r="A32" s="39">
        <v>27</v>
      </c>
      <c r="B32" s="76">
        <f t="shared" si="0"/>
        <v>1.1906854537728353E-21</v>
      </c>
      <c r="C32" s="77">
        <f t="shared" si="1"/>
        <v>1</v>
      </c>
    </row>
    <row r="33" spans="1:3" ht="14.4">
      <c r="A33" s="39">
        <v>28</v>
      </c>
      <c r="B33" s="76">
        <f t="shared" si="0"/>
        <v>5.3449918052329925E-21</v>
      </c>
      <c r="C33" s="77">
        <f t="shared" si="1"/>
        <v>1</v>
      </c>
    </row>
    <row r="34" spans="1:3" ht="14.4">
      <c r="A34" s="39">
        <v>29</v>
      </c>
      <c r="B34" s="76">
        <f t="shared" si="0"/>
        <v>2.3108232756304259E-20</v>
      </c>
      <c r="C34" s="77">
        <f t="shared" si="1"/>
        <v>1</v>
      </c>
    </row>
    <row r="35" spans="1:3" ht="14.4">
      <c r="A35" s="39">
        <v>30</v>
      </c>
      <c r="B35" s="76">
        <f t="shared" si="0"/>
        <v>9.63322593434982E-20</v>
      </c>
      <c r="C35" s="77">
        <f t="shared" si="1"/>
        <v>1</v>
      </c>
    </row>
    <row r="36" spans="1:3" ht="14.4">
      <c r="A36" s="39">
        <v>31</v>
      </c>
      <c r="B36" s="76">
        <f t="shared" si="0"/>
        <v>3.8765365544308452E-19</v>
      </c>
      <c r="C36" s="77">
        <f t="shared" si="1"/>
        <v>1</v>
      </c>
    </row>
    <row r="37" spans="1:3" ht="14.4">
      <c r="A37" s="39">
        <v>32</v>
      </c>
      <c r="B37" s="76">
        <f t="shared" si="0"/>
        <v>1.5074202717008766E-18</v>
      </c>
      <c r="C37" s="77">
        <f t="shared" si="1"/>
        <v>1</v>
      </c>
    </row>
    <row r="38" spans="1:3" ht="14.4">
      <c r="A38" s="39">
        <v>33</v>
      </c>
      <c r="B38" s="76">
        <f t="shared" si="0"/>
        <v>5.6697850674873787E-18</v>
      </c>
      <c r="C38" s="77">
        <f t="shared" si="1"/>
        <v>1</v>
      </c>
    </row>
    <row r="39" spans="1:3" ht="14.4">
      <c r="A39" s="39">
        <v>34</v>
      </c>
      <c r="B39" s="76">
        <f t="shared" si="0"/>
        <v>2.0646136832719391E-17</v>
      </c>
      <c r="C39" s="77">
        <f t="shared" si="1"/>
        <v>1</v>
      </c>
    </row>
    <row r="40" spans="1:3" ht="14.4">
      <c r="A40" s="39">
        <v>35</v>
      </c>
      <c r="B40" s="76">
        <f t="shared" si="0"/>
        <v>7.28494201286701E-17</v>
      </c>
      <c r="C40" s="77">
        <f t="shared" si="1"/>
        <v>0.99999999999999989</v>
      </c>
    </row>
    <row r="41" spans="1:3" ht="14.4">
      <c r="A41" s="39">
        <v>36</v>
      </c>
      <c r="B41" s="76">
        <f t="shared" si="0"/>
        <v>2.492771831196173E-16</v>
      </c>
      <c r="C41" s="77">
        <f t="shared" si="1"/>
        <v>0.99999999999999978</v>
      </c>
    </row>
    <row r="42" spans="1:3" ht="14.4">
      <c r="A42" s="39">
        <v>37</v>
      </c>
      <c r="B42" s="76">
        <f t="shared" si="0"/>
        <v>8.278330905854277E-16</v>
      </c>
      <c r="C42" s="77">
        <f t="shared" si="1"/>
        <v>0.99999999999999922</v>
      </c>
    </row>
    <row r="43" spans="1:3" ht="14.4">
      <c r="A43" s="39">
        <v>38</v>
      </c>
      <c r="B43" s="76">
        <f t="shared" si="0"/>
        <v>2.6700769012002274E-15</v>
      </c>
      <c r="C43" s="77">
        <f t="shared" si="1"/>
        <v>0.99999999999999734</v>
      </c>
    </row>
    <row r="44" spans="1:3" ht="14.4">
      <c r="A44" s="39">
        <v>39</v>
      </c>
      <c r="B44" s="76">
        <f t="shared" si="0"/>
        <v>8.3700107425895365E-15</v>
      </c>
      <c r="C44" s="77">
        <f t="shared" si="1"/>
        <v>0.99999999999999167</v>
      </c>
    </row>
    <row r="45" spans="1:3" ht="14.4">
      <c r="A45" s="39">
        <v>40</v>
      </c>
      <c r="B45" s="76">
        <f t="shared" si="0"/>
        <v>2.5517311715435786E-14</v>
      </c>
      <c r="C45" s="77">
        <f t="shared" si="1"/>
        <v>0.99999999999997446</v>
      </c>
    </row>
    <row r="46" spans="1:3" ht="14.4">
      <c r="A46" s="39">
        <v>41</v>
      </c>
      <c r="B46" s="76">
        <f t="shared" si="0"/>
        <v>7.5704534074985432E-14</v>
      </c>
      <c r="C46" s="77">
        <f t="shared" si="1"/>
        <v>0.99999999999992428</v>
      </c>
    </row>
    <row r="47" spans="1:3" ht="14.4">
      <c r="A47" s="39">
        <v>42</v>
      </c>
      <c r="B47" s="76">
        <f t="shared" si="0"/>
        <v>2.1869828667084614E-13</v>
      </c>
      <c r="C47" s="77">
        <f t="shared" si="1"/>
        <v>0.99999999999978129</v>
      </c>
    </row>
    <row r="48" spans="1:3" ht="14.4">
      <c r="A48" s="39">
        <v>43</v>
      </c>
      <c r="B48" s="76">
        <f t="shared" si="0"/>
        <v>6.1553366209191844E-13</v>
      </c>
      <c r="C48" s="77">
        <f t="shared" si="1"/>
        <v>0.99999999999938449</v>
      </c>
    </row>
    <row r="49" spans="1:3" ht="14.4">
      <c r="A49" s="39">
        <v>44</v>
      </c>
      <c r="B49" s="76">
        <f t="shared" si="0"/>
        <v>1.6887929728898144E-12</v>
      </c>
      <c r="C49" s="77">
        <f t="shared" si="1"/>
        <v>0.99999999999831124</v>
      </c>
    </row>
    <row r="50" spans="1:3" ht="14.4">
      <c r="A50" s="39">
        <v>45</v>
      </c>
      <c r="B50" s="76">
        <f t="shared" si="0"/>
        <v>4.519017525808704E-12</v>
      </c>
      <c r="C50" s="77">
        <f t="shared" si="1"/>
        <v>0.99999999999548095</v>
      </c>
    </row>
    <row r="51" spans="1:3" ht="14.4">
      <c r="A51" s="39">
        <v>46</v>
      </c>
      <c r="B51" s="76">
        <f t="shared" si="0"/>
        <v>1.1799667643824728E-11</v>
      </c>
      <c r="C51" s="77">
        <f t="shared" si="1"/>
        <v>0.99999999998820033</v>
      </c>
    </row>
    <row r="52" spans="1:3" ht="14.4">
      <c r="A52" s="39">
        <v>47</v>
      </c>
      <c r="B52" s="76">
        <f t="shared" si="0"/>
        <v>3.0078746663524403E-11</v>
      </c>
      <c r="C52" s="77">
        <f t="shared" si="1"/>
        <v>0.99999999996992128</v>
      </c>
    </row>
    <row r="53" spans="1:3" ht="14.4">
      <c r="A53" s="39">
        <v>48</v>
      </c>
      <c r="B53" s="76">
        <f t="shared" si="0"/>
        <v>7.4887877871538724E-11</v>
      </c>
      <c r="C53" s="77">
        <f t="shared" si="1"/>
        <v>0.99999999992511213</v>
      </c>
    </row>
    <row r="54" spans="1:3" ht="14.4">
      <c r="A54" s="39">
        <v>49</v>
      </c>
      <c r="B54" s="76">
        <f t="shared" si="0"/>
        <v>1.8218593355331261E-10</v>
      </c>
      <c r="C54" s="77">
        <f t="shared" si="1"/>
        <v>0.99999999981781407</v>
      </c>
    </row>
    <row r="55" spans="1:3" ht="14.4">
      <c r="A55" s="39">
        <v>50</v>
      </c>
      <c r="B55" s="76">
        <f t="shared" si="0"/>
        <v>4.3326338384866705E-10</v>
      </c>
      <c r="C55" s="77">
        <f t="shared" si="1"/>
        <v>0.99999999956673657</v>
      </c>
    </row>
    <row r="56" spans="1:3" ht="14.4">
      <c r="A56" s="39">
        <v>51</v>
      </c>
      <c r="B56" s="76">
        <f t="shared" si="0"/>
        <v>1.0076235642628774E-9</v>
      </c>
      <c r="C56" s="77">
        <f t="shared" si="1"/>
        <v>0.99999999899237646</v>
      </c>
    </row>
    <row r="57" spans="1:3" ht="14.4">
      <c r="A57" s="39">
        <v>52</v>
      </c>
      <c r="B57" s="76">
        <f t="shared" si="0"/>
        <v>2.2925703781382461E-9</v>
      </c>
      <c r="C57" s="77">
        <f t="shared" si="1"/>
        <v>0.99999999770742964</v>
      </c>
    </row>
    <row r="58" spans="1:3" ht="14.4">
      <c r="A58" s="39">
        <v>53</v>
      </c>
      <c r="B58" s="76">
        <f t="shared" si="0"/>
        <v>5.1049068009598282E-9</v>
      </c>
      <c r="C58" s="77">
        <f t="shared" si="1"/>
        <v>0.99999999489509317</v>
      </c>
    </row>
    <row r="59" spans="1:3" ht="14.4">
      <c r="A59" s="39">
        <v>54</v>
      </c>
      <c r="B59" s="76">
        <f t="shared" si="0"/>
        <v>1.1128861978238164E-8</v>
      </c>
      <c r="C59" s="77">
        <f t="shared" si="1"/>
        <v>0.99999998887113806</v>
      </c>
    </row>
    <row r="60" spans="1:3" ht="14.4">
      <c r="A60" s="39">
        <v>55</v>
      </c>
      <c r="B60" s="76">
        <f t="shared" si="0"/>
        <v>2.3760913440894515E-8</v>
      </c>
      <c r="C60" s="77">
        <f t="shared" si="1"/>
        <v>0.99999997623908654</v>
      </c>
    </row>
    <row r="61" spans="1:3" ht="14.4">
      <c r="A61" s="39">
        <v>56</v>
      </c>
      <c r="B61" s="76">
        <f t="shared" si="0"/>
        <v>4.9701733408849411E-8</v>
      </c>
      <c r="C61" s="77">
        <f t="shared" si="1"/>
        <v>0.9999999502982666</v>
      </c>
    </row>
    <row r="62" spans="1:3" ht="14.4">
      <c r="A62" s="39">
        <v>57</v>
      </c>
      <c r="B62" s="76">
        <f t="shared" si="0"/>
        <v>1.0188677474789326E-7</v>
      </c>
      <c r="C62" s="77">
        <f t="shared" si="1"/>
        <v>0.99999989811322521</v>
      </c>
    </row>
    <row r="63" spans="1:3" ht="14.4">
      <c r="A63" s="39">
        <v>58</v>
      </c>
      <c r="B63" s="76">
        <f t="shared" si="0"/>
        <v>2.0475728727256201E-7</v>
      </c>
      <c r="C63" s="77">
        <f t="shared" si="1"/>
        <v>0.99999979524271276</v>
      </c>
    </row>
    <row r="64" spans="1:3" ht="14.4">
      <c r="A64" s="39">
        <v>59</v>
      </c>
      <c r="B64" s="76">
        <f t="shared" si="0"/>
        <v>4.035240402863245E-7</v>
      </c>
      <c r="C64" s="77">
        <f t="shared" si="1"/>
        <v>0.99999959647595971</v>
      </c>
    </row>
    <row r="65" spans="1:3" ht="14.4">
      <c r="A65" s="39">
        <v>60</v>
      </c>
      <c r="B65" s="76">
        <f t="shared" si="0"/>
        <v>7.8007661127350569E-7</v>
      </c>
      <c r="C65" s="77">
        <f t="shared" si="1"/>
        <v>0.99999921992338869</v>
      </c>
    </row>
    <row r="66" spans="1:3" ht="14.4">
      <c r="A66" s="39">
        <v>61</v>
      </c>
      <c r="B66" s="76">
        <f t="shared" si="0"/>
        <v>1.4796824808671817E-6</v>
      </c>
      <c r="C66" s="77">
        <f t="shared" si="1"/>
        <v>0.99999852031751912</v>
      </c>
    </row>
    <row r="67" spans="1:3" ht="14.4">
      <c r="A67" s="39">
        <v>62</v>
      </c>
      <c r="B67" s="76">
        <f t="shared" si="0"/>
        <v>2.7547705980298598E-6</v>
      </c>
      <c r="C67" s="77">
        <f t="shared" si="1"/>
        <v>0.99999724522940192</v>
      </c>
    </row>
    <row r="68" spans="1:3" ht="14.4">
      <c r="A68" s="39">
        <v>63</v>
      </c>
      <c r="B68" s="76">
        <f t="shared" si="0"/>
        <v>5.0350869133789453E-6</v>
      </c>
      <c r="C68" s="77">
        <f t="shared" si="1"/>
        <v>0.99999496491308659</v>
      </c>
    </row>
    <row r="69" spans="1:3" ht="14.4">
      <c r="A69" s="39">
        <v>64</v>
      </c>
      <c r="B69" s="76">
        <f t="shared" si="0"/>
        <v>9.0375171127157137E-6</v>
      </c>
      <c r="C69" s="77">
        <f t="shared" si="1"/>
        <v>0.99999096248288732</v>
      </c>
    </row>
    <row r="70" spans="1:3" ht="14.4">
      <c r="A70" s="39">
        <v>65</v>
      </c>
      <c r="B70" s="76">
        <f t="shared" ref="B70:B133" si="2">BINOMDIST(A70,$B$1,$B$2,1)</f>
        <v>1.5934012225418896E-5</v>
      </c>
      <c r="C70" s="77">
        <f t="shared" ref="C70:C133" si="3">1-B70</f>
        <v>0.99998406598777456</v>
      </c>
    </row>
    <row r="71" spans="1:3" ht="14.4">
      <c r="A71" s="39">
        <v>66</v>
      </c>
      <c r="B71" s="76">
        <f t="shared" si="2"/>
        <v>2.7602324663578585E-5</v>
      </c>
      <c r="C71" s="77">
        <f t="shared" si="3"/>
        <v>0.99997239767533641</v>
      </c>
    </row>
    <row r="72" spans="1:3" ht="14.4">
      <c r="A72" s="39">
        <v>67</v>
      </c>
      <c r="B72" s="76">
        <f t="shared" si="2"/>
        <v>4.6991460754848606E-5</v>
      </c>
      <c r="C72" s="77">
        <f t="shared" si="3"/>
        <v>0.99995300853924518</v>
      </c>
    </row>
    <row r="73" spans="1:3" ht="14.4">
      <c r="A73" s="39">
        <v>68</v>
      </c>
      <c r="B73" s="76">
        <f t="shared" si="2"/>
        <v>7.8641374080303891E-5</v>
      </c>
      <c r="C73" s="77">
        <f t="shared" si="3"/>
        <v>0.99992135862591969</v>
      </c>
    </row>
    <row r="74" spans="1:3" ht="14.4">
      <c r="A74" s="39">
        <v>69</v>
      </c>
      <c r="B74" s="76">
        <f t="shared" si="2"/>
        <v>1.2940355390663865E-4</v>
      </c>
      <c r="C74" s="77">
        <f t="shared" si="3"/>
        <v>0.99987059644609333</v>
      </c>
    </row>
    <row r="75" spans="1:3" ht="14.4">
      <c r="A75" s="39">
        <v>70</v>
      </c>
      <c r="B75" s="76">
        <f t="shared" si="2"/>
        <v>2.0941441829957653E-4</v>
      </c>
      <c r="C75" s="77">
        <f t="shared" si="3"/>
        <v>0.99979058558170042</v>
      </c>
    </row>
    <row r="76" spans="1:3" ht="14.4">
      <c r="A76" s="39">
        <v>71</v>
      </c>
      <c r="B76" s="76">
        <f t="shared" si="2"/>
        <v>3.333749124294767E-4</v>
      </c>
      <c r="C76" s="77">
        <f t="shared" si="3"/>
        <v>0.99966662508757054</v>
      </c>
    </row>
    <row r="77" spans="1:3" ht="14.4">
      <c r="A77" s="39">
        <v>72</v>
      </c>
      <c r="B77" s="76">
        <f t="shared" si="2"/>
        <v>5.2218510950696902E-4</v>
      </c>
      <c r="C77" s="77">
        <f t="shared" si="3"/>
        <v>0.99947781489049303</v>
      </c>
    </row>
    <row r="78" spans="1:3" ht="14.4">
      <c r="A78" s="39">
        <v>73</v>
      </c>
      <c r="B78" s="76">
        <f t="shared" si="2"/>
        <v>8.0496933161389422E-4</v>
      </c>
      <c r="C78" s="77">
        <f t="shared" si="3"/>
        <v>0.99919503066838611</v>
      </c>
    </row>
    <row r="79" spans="1:3" ht="14.4">
      <c r="A79" s="39">
        <v>74</v>
      </c>
      <c r="B79" s="76">
        <f t="shared" si="2"/>
        <v>1.2215028479605817E-3</v>
      </c>
      <c r="C79" s="77">
        <f t="shared" si="3"/>
        <v>0.99877849715203937</v>
      </c>
    </row>
    <row r="80" spans="1:3" ht="14.4">
      <c r="A80" s="39">
        <v>75</v>
      </c>
      <c r="B80" s="76">
        <f t="shared" si="2"/>
        <v>1.8250136316451265E-3</v>
      </c>
      <c r="C80" s="77">
        <f t="shared" si="3"/>
        <v>0.99817498636835489</v>
      </c>
    </row>
    <row r="81" spans="1:3" ht="14.4">
      <c r="A81" s="39">
        <v>76</v>
      </c>
      <c r="B81" s="76">
        <f t="shared" si="2"/>
        <v>2.685281196107731E-3</v>
      </c>
      <c r="C81" s="77">
        <f t="shared" si="3"/>
        <v>0.99731471880389222</v>
      </c>
    </row>
    <row r="82" spans="1:3" ht="14.4">
      <c r="A82" s="39">
        <v>77</v>
      </c>
      <c r="B82" s="76">
        <f t="shared" si="2"/>
        <v>3.8918902475617479E-3</v>
      </c>
      <c r="C82" s="77">
        <f t="shared" si="3"/>
        <v>0.99610810975243824</v>
      </c>
    </row>
    <row r="83" spans="1:3" ht="14.4">
      <c r="A83" s="39">
        <v>78</v>
      </c>
      <c r="B83" s="76">
        <f t="shared" si="2"/>
        <v>5.5574232544833716E-3</v>
      </c>
      <c r="C83" s="77">
        <f t="shared" si="3"/>
        <v>0.99444257674551662</v>
      </c>
    </row>
    <row r="84" spans="1:3" ht="14.4">
      <c r="A84" s="39">
        <v>79</v>
      </c>
      <c r="B84" s="76">
        <f t="shared" si="2"/>
        <v>7.8202993229591136E-3</v>
      </c>
      <c r="C84" s="77">
        <f t="shared" si="3"/>
        <v>0.99217970067704087</v>
      </c>
    </row>
    <row r="85" spans="1:3" ht="14.4">
      <c r="A85" s="39">
        <v>80</v>
      </c>
      <c r="B85" s="76">
        <f t="shared" si="2"/>
        <v>1.084689606454551E-2</v>
      </c>
      <c r="C85" s="77">
        <f t="shared" si="3"/>
        <v>0.98915310393545453</v>
      </c>
    </row>
    <row r="86" spans="1:3" ht="14.4">
      <c r="A86" s="39">
        <v>81</v>
      </c>
      <c r="B86" s="76">
        <f t="shared" si="2"/>
        <v>1.4832537864165348E-2</v>
      </c>
      <c r="C86" s="77">
        <f t="shared" si="3"/>
        <v>0.98516746213583462</v>
      </c>
    </row>
    <row r="87" spans="1:3" ht="14.4">
      <c r="A87" s="39">
        <v>82</v>
      </c>
      <c r="B87" s="76">
        <f t="shared" si="2"/>
        <v>2.0000910766924455E-2</v>
      </c>
      <c r="C87" s="77">
        <f t="shared" si="3"/>
        <v>0.97999908923307555</v>
      </c>
    </row>
    <row r="88" spans="1:3" ht="14.4">
      <c r="A88" s="39">
        <v>83</v>
      </c>
      <c r="B88" s="76">
        <f t="shared" si="2"/>
        <v>2.6601483389725285E-2</v>
      </c>
      <c r="C88" s="77">
        <f t="shared" si="3"/>
        <v>0.97339851661027477</v>
      </c>
    </row>
    <row r="89" spans="1:3" ht="14.4">
      <c r="A89" s="39">
        <v>84</v>
      </c>
      <c r="B89" s="76">
        <f t="shared" si="2"/>
        <v>3.4904584665232628E-2</v>
      </c>
      <c r="C89" s="77">
        <f t="shared" si="3"/>
        <v>0.96509541533476739</v>
      </c>
    </row>
    <row r="90" spans="1:3" ht="14.4">
      <c r="A90" s="39">
        <v>85</v>
      </c>
      <c r="B90" s="76">
        <f t="shared" si="2"/>
        <v>4.5193918010567206E-2</v>
      </c>
      <c r="C90" s="77">
        <f t="shared" si="3"/>
        <v>0.95480608198943284</v>
      </c>
    </row>
    <row r="91" spans="1:3" ht="14.4">
      <c r="A91" s="39">
        <v>86</v>
      </c>
      <c r="B91" s="76">
        <f t="shared" si="2"/>
        <v>5.775647616475478E-2</v>
      </c>
      <c r="C91" s="77">
        <f t="shared" si="3"/>
        <v>0.94224352383524523</v>
      </c>
    </row>
    <row r="92" spans="1:3" ht="14.4">
      <c r="A92" s="39">
        <v>87</v>
      </c>
      <c r="B92" s="76">
        <f t="shared" si="2"/>
        <v>7.2870051875156522E-2</v>
      </c>
      <c r="C92" s="77">
        <f t="shared" si="3"/>
        <v>0.92712994812484351</v>
      </c>
    </row>
    <row r="93" spans="1:3" ht="14.4">
      <c r="A93" s="39">
        <v>88</v>
      </c>
      <c r="B93" s="76">
        <f t="shared" si="2"/>
        <v>9.0788798834837536E-2</v>
      </c>
      <c r="C93" s="77">
        <f t="shared" si="3"/>
        <v>0.90921120116516252</v>
      </c>
    </row>
    <row r="94" spans="1:3" ht="14.4">
      <c r="A94" s="39">
        <v>89</v>
      </c>
      <c r="B94" s="76">
        <f t="shared" si="2"/>
        <v>0.11172755932704934</v>
      </c>
      <c r="C94" s="77">
        <f t="shared" si="3"/>
        <v>0.88827244067295064</v>
      </c>
    </row>
    <row r="95" spans="1:3" ht="14.4">
      <c r="A95" s="39">
        <v>90</v>
      </c>
      <c r="B95" s="76">
        <f t="shared" si="2"/>
        <v>0.13584590937548563</v>
      </c>
      <c r="C95" s="77">
        <f t="shared" si="3"/>
        <v>0.86415409062451443</v>
      </c>
    </row>
    <row r="96" spans="1:3" ht="14.4">
      <c r="A96" s="39">
        <v>91</v>
      </c>
      <c r="B96" s="76">
        <f t="shared" si="2"/>
        <v>0.16323304679312362</v>
      </c>
      <c r="C96" s="77">
        <f t="shared" si="3"/>
        <v>0.83676695320687644</v>
      </c>
    </row>
    <row r="97" spans="1:3" ht="14.4">
      <c r="A97" s="39">
        <v>92</v>
      </c>
      <c r="B97" s="76">
        <f t="shared" si="2"/>
        <v>0.1938947332498277</v>
      </c>
      <c r="C97" s="77">
        <f t="shared" si="3"/>
        <v>0.80610526675017224</v>
      </c>
    </row>
    <row r="98" spans="1:3" ht="14.4">
      <c r="A98" s="39">
        <v>93</v>
      </c>
      <c r="B98" s="76">
        <f t="shared" si="2"/>
        <v>0.22774347672174397</v>
      </c>
      <c r="C98" s="77">
        <f t="shared" si="3"/>
        <v>0.772256523278256</v>
      </c>
    </row>
    <row r="99" spans="1:3" ht="14.4">
      <c r="A99" s="39">
        <v>94</v>
      </c>
      <c r="B99" s="76">
        <f t="shared" si="2"/>
        <v>0.26459299532415026</v>
      </c>
      <c r="C99" s="77">
        <f t="shared" si="3"/>
        <v>0.73540700467584974</v>
      </c>
    </row>
    <row r="100" spans="1:3" ht="14.4">
      <c r="A100" s="39">
        <v>95</v>
      </c>
      <c r="B100" s="76">
        <f t="shared" si="2"/>
        <v>0.30415774161304931</v>
      </c>
      <c r="C100" s="77">
        <f t="shared" si="3"/>
        <v>0.69584225838695069</v>
      </c>
    </row>
    <row r="101" spans="1:3" ht="14.4">
      <c r="A101" s="39">
        <v>96</v>
      </c>
      <c r="B101" s="76">
        <f t="shared" si="2"/>
        <v>0.34605790695372274</v>
      </c>
      <c r="C101" s="77">
        <f t="shared" si="3"/>
        <v>0.65394209304627726</v>
      </c>
    </row>
    <row r="102" spans="1:3" ht="14.4">
      <c r="A102" s="39">
        <v>97</v>
      </c>
      <c r="B102" s="76">
        <f t="shared" si="2"/>
        <v>0.38982990098659115</v>
      </c>
      <c r="C102" s="77">
        <f t="shared" si="3"/>
        <v>0.61017009901340891</v>
      </c>
    </row>
    <row r="103" spans="1:3" ht="14.4">
      <c r="A103" s="39">
        <v>98</v>
      </c>
      <c r="B103" s="76">
        <f t="shared" si="2"/>
        <v>0.43494185402046737</v>
      </c>
      <c r="C103" s="77">
        <f t="shared" si="3"/>
        <v>0.56505814597953263</v>
      </c>
    </row>
    <row r="104" spans="1:3" ht="14.4">
      <c r="A104" s="39">
        <v>99</v>
      </c>
      <c r="B104" s="76">
        <f t="shared" si="2"/>
        <v>0.48081326754312814</v>
      </c>
      <c r="C104" s="77">
        <f t="shared" si="3"/>
        <v>0.51918673245687186</v>
      </c>
    </row>
    <row r="105" spans="1:3" ht="14.4">
      <c r="A105" s="39">
        <v>100</v>
      </c>
      <c r="B105" s="76">
        <f t="shared" si="2"/>
        <v>0.52683758577753192</v>
      </c>
      <c r="C105" s="77">
        <f t="shared" si="3"/>
        <v>0.47316241422246808</v>
      </c>
    </row>
    <row r="106" spans="1:3" ht="14.4">
      <c r="A106" s="39">
        <v>101</v>
      </c>
      <c r="B106" s="76">
        <f t="shared" si="2"/>
        <v>0.57240621769278233</v>
      </c>
      <c r="C106" s="77">
        <f t="shared" si="3"/>
        <v>0.42759378230721767</v>
      </c>
    </row>
    <row r="107" spans="1:3" ht="14.4">
      <c r="A107" s="39">
        <v>102</v>
      </c>
      <c r="B107" s="76">
        <f t="shared" si="2"/>
        <v>0.61693242992369735</v>
      </c>
      <c r="C107" s="77">
        <f t="shared" si="3"/>
        <v>0.38306757007630265</v>
      </c>
    </row>
    <row r="108" spans="1:3" ht="14.4">
      <c r="A108" s="39">
        <v>103</v>
      </c>
      <c r="B108" s="76">
        <f t="shared" si="2"/>
        <v>0.65987356663830155</v>
      </c>
      <c r="C108" s="77">
        <f t="shared" si="3"/>
        <v>0.34012643336169845</v>
      </c>
    </row>
    <row r="109" spans="1:3" ht="14.4">
      <c r="A109" s="39">
        <v>104</v>
      </c>
      <c r="B109" s="76">
        <f t="shared" si="2"/>
        <v>0.70075022562624245</v>
      </c>
      <c r="C109" s="77">
        <f t="shared" si="3"/>
        <v>0.29924977437375755</v>
      </c>
    </row>
    <row r="110" spans="1:3" ht="14.4">
      <c r="A110" s="39">
        <v>105</v>
      </c>
      <c r="B110" s="76">
        <f t="shared" si="2"/>
        <v>0.73916130835776683</v>
      </c>
      <c r="C110" s="77">
        <f t="shared" si="3"/>
        <v>0.26083869164223317</v>
      </c>
    </row>
    <row r="111" spans="1:3" ht="14.4">
      <c r="A111" s="39">
        <v>106</v>
      </c>
      <c r="B111" s="76">
        <f t="shared" si="2"/>
        <v>0.7747942310175151</v>
      </c>
      <c r="C111" s="77">
        <f t="shared" si="3"/>
        <v>0.2252057689824849</v>
      </c>
    </row>
    <row r="112" spans="1:3" ht="14.4">
      <c r="A112" s="39">
        <v>107</v>
      </c>
      <c r="B112" s="76">
        <f t="shared" si="2"/>
        <v>0.80742999195821874</v>
      </c>
      <c r="C112" s="77">
        <f t="shared" si="3"/>
        <v>0.19257000804178126</v>
      </c>
    </row>
    <row r="113" spans="1:3" ht="14.4">
      <c r="A113" s="39">
        <v>108</v>
      </c>
      <c r="B113" s="76">
        <f t="shared" si="2"/>
        <v>0.83694319552496621</v>
      </c>
      <c r="C113" s="77">
        <f t="shared" si="3"/>
        <v>0.16305680447503379</v>
      </c>
    </row>
    <row r="114" spans="1:3" ht="14.4">
      <c r="A114" s="39">
        <v>109</v>
      </c>
      <c r="B114" s="76">
        <f t="shared" si="2"/>
        <v>0.86329749351117546</v>
      </c>
      <c r="C114" s="77">
        <f t="shared" si="3"/>
        <v>0.13670250648882454</v>
      </c>
    </row>
    <row r="115" spans="1:3" ht="14.4">
      <c r="A115" s="39">
        <v>110</v>
      </c>
      <c r="B115" s="76">
        <f t="shared" si="2"/>
        <v>0.88653719264446829</v>
      </c>
      <c r="C115" s="77">
        <f t="shared" si="3"/>
        <v>0.11346280735553171</v>
      </c>
    </row>
    <row r="116" spans="1:3" ht="14.4">
      <c r="A116" s="39">
        <v>111</v>
      </c>
      <c r="B116" s="76">
        <f t="shared" si="2"/>
        <v>0.90677596966745644</v>
      </c>
      <c r="C116" s="77">
        <f t="shared" si="3"/>
        <v>9.3224030332543562E-2</v>
      </c>
    </row>
    <row r="117" spans="1:3" ht="14.4">
      <c r="A117" s="39">
        <v>112</v>
      </c>
      <c r="B117" s="76">
        <f t="shared" si="2"/>
        <v>0.9241837272854434</v>
      </c>
      <c r="C117" s="77">
        <f t="shared" si="3"/>
        <v>7.5816272714556598E-2</v>
      </c>
    </row>
    <row r="118" spans="1:3" ht="14.4">
      <c r="A118" s="39">
        <v>113</v>
      </c>
      <c r="B118" s="76">
        <f t="shared" si="2"/>
        <v>0.93897261871311355</v>
      </c>
      <c r="C118" s="77">
        <f t="shared" si="3"/>
        <v>6.1027381286886451E-2</v>
      </c>
    </row>
    <row r="119" spans="1:3" ht="14.4">
      <c r="A119" s="78">
        <v>114</v>
      </c>
      <c r="B119" s="79">
        <f t="shared" si="2"/>
        <v>0.95138317964802965</v>
      </c>
      <c r="C119" s="80">
        <f t="shared" si="3"/>
        <v>4.8616820351970347E-2</v>
      </c>
    </row>
    <row r="120" spans="1:3" ht="14.4">
      <c r="A120" s="39">
        <v>115</v>
      </c>
      <c r="B120" s="76">
        <f t="shared" si="2"/>
        <v>0.96167135479987331</v>
      </c>
      <c r="C120" s="77">
        <f t="shared" si="3"/>
        <v>3.8328645200126688E-2</v>
      </c>
    </row>
    <row r="121" spans="1:3" ht="14.4">
      <c r="A121" s="39">
        <v>116</v>
      </c>
      <c r="B121" s="76">
        <f t="shared" si="2"/>
        <v>0.97009701548457272</v>
      </c>
      <c r="C121" s="77">
        <f t="shared" si="3"/>
        <v>2.9902984515427278E-2</v>
      </c>
    </row>
    <row r="122" spans="1:3" ht="14.4">
      <c r="A122" s="39">
        <v>117</v>
      </c>
      <c r="B122" s="76">
        <f t="shared" si="2"/>
        <v>0.97691435917247771</v>
      </c>
      <c r="C122" s="77">
        <f t="shared" si="3"/>
        <v>2.3085640827522291E-2</v>
      </c>
    </row>
    <row r="123" spans="1:3" ht="14.4">
      <c r="A123" s="39">
        <v>118</v>
      </c>
      <c r="B123" s="76">
        <f t="shared" si="2"/>
        <v>0.98236438251619851</v>
      </c>
      <c r="C123" s="77">
        <f t="shared" si="3"/>
        <v>1.7635617483801491E-2</v>
      </c>
    </row>
    <row r="124" spans="1:3" ht="14.4">
      <c r="A124" s="39">
        <v>119</v>
      </c>
      <c r="B124" s="76">
        <f t="shared" si="2"/>
        <v>0.98666944297258286</v>
      </c>
      <c r="C124" s="77">
        <f t="shared" si="3"/>
        <v>1.3330557027417145E-2</v>
      </c>
    </row>
    <row r="125" spans="1:3" ht="14.4">
      <c r="A125" s="39">
        <v>120</v>
      </c>
      <c r="B125" s="76">
        <f t="shared" si="2"/>
        <v>0.99002978182881618</v>
      </c>
      <c r="C125" s="77">
        <f t="shared" si="3"/>
        <v>9.97021817118382E-3</v>
      </c>
    </row>
    <row r="126" spans="1:3" ht="14.4">
      <c r="A126" s="39">
        <v>121</v>
      </c>
      <c r="B126" s="76">
        <f t="shared" si="2"/>
        <v>0.99262177874271518</v>
      </c>
      <c r="C126" s="77">
        <f t="shared" si="3"/>
        <v>7.3782212572848227E-3</v>
      </c>
    </row>
    <row r="127" spans="1:3" ht="14.4">
      <c r="A127" s="39">
        <v>122</v>
      </c>
      <c r="B127" s="76">
        <f t="shared" si="2"/>
        <v>0.99459764524265459</v>
      </c>
      <c r="C127" s="77">
        <f t="shared" si="3"/>
        <v>5.4023547573454067E-3</v>
      </c>
    </row>
    <row r="128" spans="1:3" ht="14.4">
      <c r="A128" s="39">
        <v>123</v>
      </c>
      <c r="B128" s="76">
        <f t="shared" si="2"/>
        <v>0.99608623843231081</v>
      </c>
      <c r="C128" s="77">
        <f t="shared" si="3"/>
        <v>3.913761567689189E-3</v>
      </c>
    </row>
    <row r="129" spans="1:3" ht="14.4">
      <c r="A129" s="39">
        <v>124</v>
      </c>
      <c r="B129" s="76">
        <f t="shared" si="2"/>
        <v>0.99719468013536139</v>
      </c>
      <c r="C129" s="77">
        <f t="shared" si="3"/>
        <v>2.8053198646386113E-3</v>
      </c>
    </row>
    <row r="130" spans="1:3" ht="14.4">
      <c r="A130" s="39">
        <v>125</v>
      </c>
      <c r="B130" s="76">
        <f t="shared" si="2"/>
        <v>0.99801049322880653</v>
      </c>
      <c r="C130" s="77">
        <f t="shared" si="3"/>
        <v>1.9895067711934722E-3</v>
      </c>
    </row>
    <row r="131" spans="1:3" ht="14.4">
      <c r="A131" s="39">
        <v>126</v>
      </c>
      <c r="B131" s="76">
        <f t="shared" si="2"/>
        <v>0.99860400804546634</v>
      </c>
      <c r="C131" s="77">
        <f t="shared" si="3"/>
        <v>1.3959919545336597E-3</v>
      </c>
    </row>
    <row r="132" spans="1:3" ht="14.4">
      <c r="A132" s="39">
        <v>127</v>
      </c>
      <c r="B132" s="76">
        <f t="shared" si="2"/>
        <v>0.99903084022332678</v>
      </c>
      <c r="C132" s="77">
        <f t="shared" si="3"/>
        <v>9.6915977667322295E-4</v>
      </c>
    </row>
    <row r="133" spans="1:3" ht="14.4">
      <c r="A133" s="39">
        <v>128</v>
      </c>
      <c r="B133" s="76">
        <f t="shared" si="2"/>
        <v>0.99933429122477435</v>
      </c>
      <c r="C133" s="77">
        <f t="shared" si="3"/>
        <v>6.6570877522564853E-4</v>
      </c>
    </row>
    <row r="134" spans="1:3" ht="14.4">
      <c r="A134" s="39">
        <v>129</v>
      </c>
      <c r="B134" s="76">
        <f t="shared" ref="B134:B145" si="4">BINOMDIST(A134,$B$1,$B$2,1)</f>
        <v>0.99954756944801404</v>
      </c>
      <c r="C134" s="77">
        <f t="shared" ref="C134:C145" si="5">1-B134</f>
        <v>4.5243055198596061E-4</v>
      </c>
    </row>
    <row r="135" spans="1:3" ht="14.4">
      <c r="A135" s="39">
        <v>130</v>
      </c>
      <c r="B135" s="76">
        <f t="shared" si="4"/>
        <v>0.99969577046980351</v>
      </c>
      <c r="C135" s="77">
        <f t="shared" si="5"/>
        <v>3.0422953019648702E-4</v>
      </c>
    </row>
    <row r="136" spans="1:3" ht="14.4">
      <c r="A136" s="39">
        <v>131</v>
      </c>
      <c r="B136" s="76">
        <f t="shared" si="4"/>
        <v>0.99979758796568952</v>
      </c>
      <c r="C136" s="77">
        <f t="shared" si="5"/>
        <v>2.0241203431048405E-4</v>
      </c>
    </row>
    <row r="137" spans="1:3" ht="14.4">
      <c r="A137" s="39">
        <v>132</v>
      </c>
      <c r="B137" s="76">
        <f t="shared" si="4"/>
        <v>0.99986675187072327</v>
      </c>
      <c r="C137" s="77">
        <f t="shared" si="5"/>
        <v>1.3324812927673069E-4</v>
      </c>
    </row>
    <row r="138" spans="1:3" ht="14.4">
      <c r="A138" s="39">
        <v>133</v>
      </c>
      <c r="B138" s="76">
        <f t="shared" si="4"/>
        <v>0.99991320782698645</v>
      </c>
      <c r="C138" s="77">
        <f t="shared" si="5"/>
        <v>8.6792173013550133E-5</v>
      </c>
    </row>
    <row r="139" spans="1:3" ht="14.4">
      <c r="A139" s="39">
        <v>134</v>
      </c>
      <c r="B139" s="76">
        <f t="shared" si="4"/>
        <v>0.999944062902415</v>
      </c>
      <c r="C139" s="77">
        <f t="shared" si="5"/>
        <v>5.5937097585001538E-5</v>
      </c>
    </row>
    <row r="140" spans="1:3" ht="14.4">
      <c r="A140" s="39">
        <v>135</v>
      </c>
      <c r="B140" s="76">
        <f t="shared" si="4"/>
        <v>0.99996432821121495</v>
      </c>
      <c r="C140" s="77">
        <f t="shared" si="5"/>
        <v>3.5671788785052172E-5</v>
      </c>
    </row>
    <row r="141" spans="1:3" ht="14.4">
      <c r="A141" s="39">
        <v>136</v>
      </c>
      <c r="B141" s="76">
        <f t="shared" si="4"/>
        <v>0.99997749072796016</v>
      </c>
      <c r="C141" s="77">
        <f t="shared" si="5"/>
        <v>2.250927203983899E-5</v>
      </c>
    </row>
    <row r="142" spans="1:3" ht="14.4">
      <c r="A142" s="39">
        <v>137</v>
      </c>
      <c r="B142" s="76">
        <f t="shared" si="4"/>
        <v>0.9999859454832416</v>
      </c>
      <c r="C142" s="77">
        <f t="shared" si="5"/>
        <v>1.4054516758399416E-5</v>
      </c>
    </row>
    <row r="143" spans="1:3" ht="14.4">
      <c r="A143" s="39">
        <v>138</v>
      </c>
      <c r="B143" s="76">
        <f t="shared" si="4"/>
        <v>0.99999131649927797</v>
      </c>
      <c r="C143" s="77">
        <f t="shared" si="5"/>
        <v>8.6835007220287252E-6</v>
      </c>
    </row>
    <row r="144" spans="1:3" ht="14.4">
      <c r="A144" s="39">
        <v>139</v>
      </c>
      <c r="B144" s="76">
        <f t="shared" si="4"/>
        <v>0.99999469109448547</v>
      </c>
      <c r="C144" s="77">
        <f t="shared" si="5"/>
        <v>5.3089055145338904E-6</v>
      </c>
    </row>
    <row r="145" spans="1:3" ht="14.4">
      <c r="A145" s="39">
        <v>140</v>
      </c>
      <c r="B145" s="76">
        <f t="shared" si="4"/>
        <v>0.99999678816436433</v>
      </c>
      <c r="C145" s="77">
        <f t="shared" si="5"/>
        <v>3.2118356356747313E-6</v>
      </c>
    </row>
  </sheetData>
  <mergeCells count="2">
    <mergeCell ref="A3:C3"/>
    <mergeCell ref="F2:H2"/>
  </mergeCells>
  <phoneticPr fontId="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5"/>
  <sheetViews>
    <sheetView zoomScaleNormal="100" workbookViewId="0">
      <selection activeCell="K30" sqref="K30"/>
    </sheetView>
  </sheetViews>
  <sheetFormatPr baseColWidth="10" defaultRowHeight="13.2"/>
  <cols>
    <col min="4" max="4" width="15" customWidth="1"/>
    <col min="7" max="7" width="15" customWidth="1"/>
  </cols>
  <sheetData>
    <row r="1" spans="1:11">
      <c r="A1" t="s">
        <v>22</v>
      </c>
      <c r="B1">
        <v>400</v>
      </c>
      <c r="D1" t="s">
        <v>30</v>
      </c>
      <c r="E1">
        <v>20</v>
      </c>
      <c r="F1" t="s">
        <v>31</v>
      </c>
      <c r="H1">
        <v>114</v>
      </c>
      <c r="I1" t="str">
        <f>'Exemple 1 - Définition de R'!D2</f>
        <v>Lecture P(X&gt;114)= 4,86%</v>
      </c>
    </row>
    <row r="2" spans="1:11">
      <c r="A2" t="s">
        <v>24</v>
      </c>
      <c r="B2" s="28">
        <v>0.25</v>
      </c>
      <c r="D2" t="s">
        <v>32</v>
      </c>
      <c r="E2">
        <v>100</v>
      </c>
      <c r="F2" t="s">
        <v>33</v>
      </c>
      <c r="H2">
        <v>110</v>
      </c>
      <c r="I2" t="s">
        <v>34</v>
      </c>
      <c r="K2" s="81">
        <f ca="1">_xll.RiskOutput()+I505</f>
        <v>7.3999999999999996E-2</v>
      </c>
    </row>
    <row r="4" spans="1:11" s="23" customFormat="1" ht="51.75" customHeight="1">
      <c r="A4" s="23" t="s">
        <v>35</v>
      </c>
      <c r="B4" s="82" t="s">
        <v>36</v>
      </c>
      <c r="C4" s="23" t="s">
        <v>37</v>
      </c>
      <c r="D4" s="23" t="s">
        <v>38</v>
      </c>
      <c r="E4" s="82" t="s">
        <v>39</v>
      </c>
      <c r="F4" s="82" t="s">
        <v>40</v>
      </c>
      <c r="G4" s="82" t="s">
        <v>41</v>
      </c>
      <c r="H4" s="23" t="s">
        <v>42</v>
      </c>
    </row>
    <row r="5" spans="1:11">
      <c r="A5">
        <v>1</v>
      </c>
      <c r="B5">
        <f>E1</f>
        <v>20</v>
      </c>
      <c r="C5">
        <f>E2</f>
        <v>100</v>
      </c>
      <c r="D5">
        <f>B5+C5</f>
        <v>120</v>
      </c>
      <c r="E5">
        <f ca="1">_xll.RiskBinomial($B$1,$B$2)</f>
        <v>90</v>
      </c>
      <c r="F5">
        <f ca="1">D5-E5</f>
        <v>30</v>
      </c>
      <c r="G5">
        <f ca="1">$H$1-F5</f>
        <v>84</v>
      </c>
      <c r="H5">
        <f ca="1">MIN(G5,$H$2)</f>
        <v>84</v>
      </c>
      <c r="I5">
        <f ca="1">IF(F5&lt;0,1,0)</f>
        <v>0</v>
      </c>
    </row>
    <row r="6" spans="1:11">
      <c r="A6">
        <f>A5+1</f>
        <v>2</v>
      </c>
      <c r="B6">
        <f ca="1">F5</f>
        <v>30</v>
      </c>
      <c r="C6">
        <f ca="1">H5</f>
        <v>84</v>
      </c>
      <c r="D6">
        <f ca="1">B6+C6</f>
        <v>114</v>
      </c>
      <c r="E6">
        <f ca="1">_xll.RiskBinomial($B$1,$B$2)</f>
        <v>91</v>
      </c>
      <c r="F6">
        <f ca="1">D6-E6</f>
        <v>23</v>
      </c>
      <c r="G6">
        <f ca="1">$H$1-F6</f>
        <v>91</v>
      </c>
      <c r="H6">
        <f ca="1">MIN(G6,$H$2)</f>
        <v>91</v>
      </c>
      <c r="I6">
        <f t="shared" ref="I6:I69" ca="1" si="0">IF(F6&lt;0,1,0)</f>
        <v>0</v>
      </c>
    </row>
    <row r="7" spans="1:11">
      <c r="A7">
        <f t="shared" ref="A7:A70" si="1">A6+1</f>
        <v>3</v>
      </c>
      <c r="B7">
        <f t="shared" ref="B7:B70" ca="1" si="2">F6</f>
        <v>23</v>
      </c>
      <c r="C7">
        <f t="shared" ref="C7:C70" ca="1" si="3">H6</f>
        <v>91</v>
      </c>
      <c r="D7">
        <f t="shared" ref="D7:D70" ca="1" si="4">B7+C7</f>
        <v>114</v>
      </c>
      <c r="E7">
        <f ca="1">_xll.RiskBinomial($B$1,$B$2)</f>
        <v>105</v>
      </c>
      <c r="F7">
        <f t="shared" ref="F7:F70" ca="1" si="5">D7-E7</f>
        <v>9</v>
      </c>
      <c r="G7">
        <f t="shared" ref="G7:G70" ca="1" si="6">$H$1-F7</f>
        <v>105</v>
      </c>
      <c r="H7">
        <f t="shared" ref="H7:H70" ca="1" si="7">MIN(G7,$H$2)</f>
        <v>105</v>
      </c>
      <c r="I7">
        <f t="shared" ca="1" si="0"/>
        <v>0</v>
      </c>
    </row>
    <row r="8" spans="1:11">
      <c r="A8">
        <f t="shared" si="1"/>
        <v>4</v>
      </c>
      <c r="B8">
        <f t="shared" ca="1" si="2"/>
        <v>9</v>
      </c>
      <c r="C8">
        <f t="shared" ca="1" si="3"/>
        <v>105</v>
      </c>
      <c r="D8">
        <f t="shared" ca="1" si="4"/>
        <v>114</v>
      </c>
      <c r="E8">
        <f ca="1">_xll.RiskBinomial($B$1,$B$2)</f>
        <v>102</v>
      </c>
      <c r="F8">
        <f t="shared" ca="1" si="5"/>
        <v>12</v>
      </c>
      <c r="G8">
        <f t="shared" ca="1" si="6"/>
        <v>102</v>
      </c>
      <c r="H8">
        <f t="shared" ca="1" si="7"/>
        <v>102</v>
      </c>
      <c r="I8">
        <f t="shared" ca="1" si="0"/>
        <v>0</v>
      </c>
    </row>
    <row r="9" spans="1:11">
      <c r="A9">
        <f t="shared" si="1"/>
        <v>5</v>
      </c>
      <c r="B9">
        <f t="shared" ca="1" si="2"/>
        <v>12</v>
      </c>
      <c r="C9">
        <f t="shared" ca="1" si="3"/>
        <v>102</v>
      </c>
      <c r="D9">
        <f t="shared" ca="1" si="4"/>
        <v>114</v>
      </c>
      <c r="E9">
        <f ca="1">_xll.RiskBinomial($B$1,$B$2)</f>
        <v>102</v>
      </c>
      <c r="F9">
        <f t="shared" ca="1" si="5"/>
        <v>12</v>
      </c>
      <c r="G9">
        <f t="shared" ca="1" si="6"/>
        <v>102</v>
      </c>
      <c r="H9">
        <f t="shared" ca="1" si="7"/>
        <v>102</v>
      </c>
      <c r="I9">
        <f t="shared" ca="1" si="0"/>
        <v>0</v>
      </c>
    </row>
    <row r="10" spans="1:11">
      <c r="A10">
        <f t="shared" si="1"/>
        <v>6</v>
      </c>
      <c r="B10">
        <f t="shared" ca="1" si="2"/>
        <v>12</v>
      </c>
      <c r="C10">
        <f t="shared" ca="1" si="3"/>
        <v>102</v>
      </c>
      <c r="D10">
        <f t="shared" ca="1" si="4"/>
        <v>114</v>
      </c>
      <c r="E10">
        <f ca="1">_xll.RiskBinomial($B$1,$B$2)</f>
        <v>105</v>
      </c>
      <c r="F10">
        <f t="shared" ca="1" si="5"/>
        <v>9</v>
      </c>
      <c r="G10">
        <f t="shared" ca="1" si="6"/>
        <v>105</v>
      </c>
      <c r="H10">
        <f t="shared" ca="1" si="7"/>
        <v>105</v>
      </c>
      <c r="I10">
        <f t="shared" ca="1" si="0"/>
        <v>0</v>
      </c>
    </row>
    <row r="11" spans="1:11">
      <c r="A11">
        <f t="shared" si="1"/>
        <v>7</v>
      </c>
      <c r="B11">
        <f t="shared" ca="1" si="2"/>
        <v>9</v>
      </c>
      <c r="C11">
        <f t="shared" ca="1" si="3"/>
        <v>105</v>
      </c>
      <c r="D11">
        <f t="shared" ca="1" si="4"/>
        <v>114</v>
      </c>
      <c r="E11">
        <f ca="1">_xll.RiskBinomial($B$1,$B$2)</f>
        <v>99</v>
      </c>
      <c r="F11">
        <f t="shared" ca="1" si="5"/>
        <v>15</v>
      </c>
      <c r="G11">
        <f t="shared" ca="1" si="6"/>
        <v>99</v>
      </c>
      <c r="H11">
        <f t="shared" ca="1" si="7"/>
        <v>99</v>
      </c>
      <c r="I11">
        <f t="shared" ca="1" si="0"/>
        <v>0</v>
      </c>
    </row>
    <row r="12" spans="1:11">
      <c r="A12">
        <f t="shared" si="1"/>
        <v>8</v>
      </c>
      <c r="B12">
        <f t="shared" ca="1" si="2"/>
        <v>15</v>
      </c>
      <c r="C12">
        <f t="shared" ca="1" si="3"/>
        <v>99</v>
      </c>
      <c r="D12">
        <f t="shared" ca="1" si="4"/>
        <v>114</v>
      </c>
      <c r="E12">
        <f ca="1">_xll.RiskBinomial($B$1,$B$2)</f>
        <v>100</v>
      </c>
      <c r="F12">
        <f t="shared" ca="1" si="5"/>
        <v>14</v>
      </c>
      <c r="G12">
        <f t="shared" ca="1" si="6"/>
        <v>100</v>
      </c>
      <c r="H12">
        <f t="shared" ca="1" si="7"/>
        <v>100</v>
      </c>
      <c r="I12">
        <f t="shared" ca="1" si="0"/>
        <v>0</v>
      </c>
    </row>
    <row r="13" spans="1:11">
      <c r="A13">
        <f t="shared" si="1"/>
        <v>9</v>
      </c>
      <c r="B13">
        <f t="shared" ca="1" si="2"/>
        <v>14</v>
      </c>
      <c r="C13">
        <f t="shared" ca="1" si="3"/>
        <v>100</v>
      </c>
      <c r="D13">
        <f t="shared" ca="1" si="4"/>
        <v>114</v>
      </c>
      <c r="E13">
        <f ca="1">_xll.RiskBinomial($B$1,$B$2)</f>
        <v>98</v>
      </c>
      <c r="F13">
        <f t="shared" ca="1" si="5"/>
        <v>16</v>
      </c>
      <c r="G13">
        <f t="shared" ca="1" si="6"/>
        <v>98</v>
      </c>
      <c r="H13">
        <f t="shared" ca="1" si="7"/>
        <v>98</v>
      </c>
      <c r="I13">
        <f t="shared" ca="1" si="0"/>
        <v>0</v>
      </c>
    </row>
    <row r="14" spans="1:11">
      <c r="A14">
        <f t="shared" si="1"/>
        <v>10</v>
      </c>
      <c r="B14">
        <f t="shared" ca="1" si="2"/>
        <v>16</v>
      </c>
      <c r="C14">
        <f t="shared" ca="1" si="3"/>
        <v>98</v>
      </c>
      <c r="D14">
        <f t="shared" ca="1" si="4"/>
        <v>114</v>
      </c>
      <c r="E14">
        <f ca="1">_xll.RiskBinomial($B$1,$B$2)</f>
        <v>99</v>
      </c>
      <c r="F14">
        <f t="shared" ca="1" si="5"/>
        <v>15</v>
      </c>
      <c r="G14">
        <f t="shared" ca="1" si="6"/>
        <v>99</v>
      </c>
      <c r="H14">
        <f t="shared" ca="1" si="7"/>
        <v>99</v>
      </c>
      <c r="I14">
        <f t="shared" ca="1" si="0"/>
        <v>0</v>
      </c>
    </row>
    <row r="15" spans="1:11">
      <c r="A15">
        <f t="shared" si="1"/>
        <v>11</v>
      </c>
      <c r="B15">
        <f t="shared" ca="1" si="2"/>
        <v>15</v>
      </c>
      <c r="C15">
        <f t="shared" ca="1" si="3"/>
        <v>99</v>
      </c>
      <c r="D15">
        <f t="shared" ca="1" si="4"/>
        <v>114</v>
      </c>
      <c r="E15">
        <f ca="1">_xll.RiskBinomial($B$1,$B$2)</f>
        <v>94</v>
      </c>
      <c r="F15">
        <f t="shared" ca="1" si="5"/>
        <v>20</v>
      </c>
      <c r="G15">
        <f t="shared" ca="1" si="6"/>
        <v>94</v>
      </c>
      <c r="H15">
        <f t="shared" ca="1" si="7"/>
        <v>94</v>
      </c>
      <c r="I15">
        <f t="shared" ca="1" si="0"/>
        <v>0</v>
      </c>
    </row>
    <row r="16" spans="1:11">
      <c r="A16">
        <f t="shared" si="1"/>
        <v>12</v>
      </c>
      <c r="B16">
        <f t="shared" ca="1" si="2"/>
        <v>20</v>
      </c>
      <c r="C16">
        <f t="shared" ca="1" si="3"/>
        <v>94</v>
      </c>
      <c r="D16">
        <f t="shared" ca="1" si="4"/>
        <v>114</v>
      </c>
      <c r="E16">
        <f ca="1">_xll.RiskBinomial($B$1,$B$2)</f>
        <v>103</v>
      </c>
      <c r="F16">
        <f t="shared" ca="1" si="5"/>
        <v>11</v>
      </c>
      <c r="G16">
        <f t="shared" ca="1" si="6"/>
        <v>103</v>
      </c>
      <c r="H16">
        <f t="shared" ca="1" si="7"/>
        <v>103</v>
      </c>
      <c r="I16">
        <f t="shared" ca="1" si="0"/>
        <v>0</v>
      </c>
    </row>
    <row r="17" spans="1:9">
      <c r="A17">
        <f t="shared" si="1"/>
        <v>13</v>
      </c>
      <c r="B17">
        <f t="shared" ca="1" si="2"/>
        <v>11</v>
      </c>
      <c r="C17">
        <f t="shared" ca="1" si="3"/>
        <v>103</v>
      </c>
      <c r="D17">
        <f t="shared" ca="1" si="4"/>
        <v>114</v>
      </c>
      <c r="E17">
        <f ca="1">_xll.RiskBinomial($B$1,$B$2)</f>
        <v>102</v>
      </c>
      <c r="F17">
        <f t="shared" ca="1" si="5"/>
        <v>12</v>
      </c>
      <c r="G17">
        <f t="shared" ca="1" si="6"/>
        <v>102</v>
      </c>
      <c r="H17">
        <f t="shared" ca="1" si="7"/>
        <v>102</v>
      </c>
      <c r="I17">
        <f t="shared" ca="1" si="0"/>
        <v>0</v>
      </c>
    </row>
    <row r="18" spans="1:9">
      <c r="A18">
        <f t="shared" si="1"/>
        <v>14</v>
      </c>
      <c r="B18">
        <f t="shared" ca="1" si="2"/>
        <v>12</v>
      </c>
      <c r="C18">
        <f t="shared" ca="1" si="3"/>
        <v>102</v>
      </c>
      <c r="D18">
        <f t="shared" ca="1" si="4"/>
        <v>114</v>
      </c>
      <c r="E18">
        <f ca="1">_xll.RiskBinomial($B$1,$B$2)</f>
        <v>109</v>
      </c>
      <c r="F18">
        <f t="shared" ca="1" si="5"/>
        <v>5</v>
      </c>
      <c r="G18">
        <f t="shared" ca="1" si="6"/>
        <v>109</v>
      </c>
      <c r="H18">
        <f t="shared" ca="1" si="7"/>
        <v>109</v>
      </c>
      <c r="I18">
        <f t="shared" ca="1" si="0"/>
        <v>0</v>
      </c>
    </row>
    <row r="19" spans="1:9">
      <c r="A19">
        <f t="shared" si="1"/>
        <v>15</v>
      </c>
      <c r="B19">
        <f t="shared" ca="1" si="2"/>
        <v>5</v>
      </c>
      <c r="C19">
        <f t="shared" ca="1" si="3"/>
        <v>109</v>
      </c>
      <c r="D19">
        <f t="shared" ca="1" si="4"/>
        <v>114</v>
      </c>
      <c r="E19">
        <f ca="1">_xll.RiskBinomial($B$1,$B$2)</f>
        <v>105</v>
      </c>
      <c r="F19">
        <f t="shared" ca="1" si="5"/>
        <v>9</v>
      </c>
      <c r="G19">
        <f t="shared" ca="1" si="6"/>
        <v>105</v>
      </c>
      <c r="H19">
        <f t="shared" ca="1" si="7"/>
        <v>105</v>
      </c>
      <c r="I19">
        <f t="shared" ca="1" si="0"/>
        <v>0</v>
      </c>
    </row>
    <row r="20" spans="1:9">
      <c r="A20">
        <f t="shared" si="1"/>
        <v>16</v>
      </c>
      <c r="B20">
        <f t="shared" ca="1" si="2"/>
        <v>9</v>
      </c>
      <c r="C20">
        <f t="shared" ca="1" si="3"/>
        <v>105</v>
      </c>
      <c r="D20">
        <f t="shared" ca="1" si="4"/>
        <v>114</v>
      </c>
      <c r="E20">
        <f ca="1">_xll.RiskBinomial($B$1,$B$2)</f>
        <v>97</v>
      </c>
      <c r="F20">
        <f t="shared" ca="1" si="5"/>
        <v>17</v>
      </c>
      <c r="G20">
        <f t="shared" ca="1" si="6"/>
        <v>97</v>
      </c>
      <c r="H20">
        <f t="shared" ca="1" si="7"/>
        <v>97</v>
      </c>
      <c r="I20">
        <f t="shared" ca="1" si="0"/>
        <v>0</v>
      </c>
    </row>
    <row r="21" spans="1:9">
      <c r="A21">
        <f t="shared" si="1"/>
        <v>17</v>
      </c>
      <c r="B21">
        <f t="shared" ca="1" si="2"/>
        <v>17</v>
      </c>
      <c r="C21">
        <f t="shared" ca="1" si="3"/>
        <v>97</v>
      </c>
      <c r="D21">
        <f t="shared" ca="1" si="4"/>
        <v>114</v>
      </c>
      <c r="E21">
        <f ca="1">_xll.RiskBinomial($B$1,$B$2)</f>
        <v>126</v>
      </c>
      <c r="F21">
        <f t="shared" ca="1" si="5"/>
        <v>-12</v>
      </c>
      <c r="G21">
        <f t="shared" ca="1" si="6"/>
        <v>126</v>
      </c>
      <c r="H21">
        <f t="shared" ca="1" si="7"/>
        <v>110</v>
      </c>
      <c r="I21">
        <f t="shared" ca="1" si="0"/>
        <v>1</v>
      </c>
    </row>
    <row r="22" spans="1:9">
      <c r="A22">
        <f t="shared" si="1"/>
        <v>18</v>
      </c>
      <c r="B22">
        <f t="shared" ca="1" si="2"/>
        <v>-12</v>
      </c>
      <c r="C22">
        <f t="shared" ca="1" si="3"/>
        <v>110</v>
      </c>
      <c r="D22">
        <f t="shared" ca="1" si="4"/>
        <v>98</v>
      </c>
      <c r="E22">
        <f ca="1">_xll.RiskBinomial($B$1,$B$2)</f>
        <v>97</v>
      </c>
      <c r="F22">
        <f t="shared" ca="1" si="5"/>
        <v>1</v>
      </c>
      <c r="G22">
        <f t="shared" ca="1" si="6"/>
        <v>113</v>
      </c>
      <c r="H22">
        <f t="shared" ca="1" si="7"/>
        <v>110</v>
      </c>
      <c r="I22">
        <f t="shared" ca="1" si="0"/>
        <v>0</v>
      </c>
    </row>
    <row r="23" spans="1:9">
      <c r="A23">
        <f t="shared" si="1"/>
        <v>19</v>
      </c>
      <c r="B23">
        <f t="shared" ca="1" si="2"/>
        <v>1</v>
      </c>
      <c r="C23">
        <f t="shared" ca="1" si="3"/>
        <v>110</v>
      </c>
      <c r="D23">
        <f t="shared" ca="1" si="4"/>
        <v>111</v>
      </c>
      <c r="E23">
        <f ca="1">_xll.RiskBinomial($B$1,$B$2)</f>
        <v>102</v>
      </c>
      <c r="F23">
        <f t="shared" ca="1" si="5"/>
        <v>9</v>
      </c>
      <c r="G23">
        <f t="shared" ca="1" si="6"/>
        <v>105</v>
      </c>
      <c r="H23">
        <f t="shared" ca="1" si="7"/>
        <v>105</v>
      </c>
      <c r="I23">
        <f t="shared" ca="1" si="0"/>
        <v>0</v>
      </c>
    </row>
    <row r="24" spans="1:9">
      <c r="A24">
        <f t="shared" si="1"/>
        <v>20</v>
      </c>
      <c r="B24">
        <f t="shared" ca="1" si="2"/>
        <v>9</v>
      </c>
      <c r="C24">
        <f t="shared" ca="1" si="3"/>
        <v>105</v>
      </c>
      <c r="D24">
        <f t="shared" ca="1" si="4"/>
        <v>114</v>
      </c>
      <c r="E24">
        <f ca="1">_xll.RiskBinomial($B$1,$B$2)</f>
        <v>89</v>
      </c>
      <c r="F24">
        <f t="shared" ca="1" si="5"/>
        <v>25</v>
      </c>
      <c r="G24">
        <f t="shared" ca="1" si="6"/>
        <v>89</v>
      </c>
      <c r="H24">
        <f t="shared" ca="1" si="7"/>
        <v>89</v>
      </c>
      <c r="I24">
        <f t="shared" ca="1" si="0"/>
        <v>0</v>
      </c>
    </row>
    <row r="25" spans="1:9">
      <c r="A25">
        <f t="shared" si="1"/>
        <v>21</v>
      </c>
      <c r="B25">
        <f t="shared" ca="1" si="2"/>
        <v>25</v>
      </c>
      <c r="C25">
        <f t="shared" ca="1" si="3"/>
        <v>89</v>
      </c>
      <c r="D25">
        <f t="shared" ca="1" si="4"/>
        <v>114</v>
      </c>
      <c r="E25">
        <f ca="1">_xll.RiskBinomial($B$1,$B$2)</f>
        <v>99</v>
      </c>
      <c r="F25">
        <f t="shared" ca="1" si="5"/>
        <v>15</v>
      </c>
      <c r="G25">
        <f t="shared" ca="1" si="6"/>
        <v>99</v>
      </c>
      <c r="H25">
        <f t="shared" ca="1" si="7"/>
        <v>99</v>
      </c>
      <c r="I25">
        <f t="shared" ca="1" si="0"/>
        <v>0</v>
      </c>
    </row>
    <row r="26" spans="1:9">
      <c r="A26">
        <f t="shared" si="1"/>
        <v>22</v>
      </c>
      <c r="B26">
        <f t="shared" ca="1" si="2"/>
        <v>15</v>
      </c>
      <c r="C26">
        <f t="shared" ca="1" si="3"/>
        <v>99</v>
      </c>
      <c r="D26">
        <f t="shared" ca="1" si="4"/>
        <v>114</v>
      </c>
      <c r="E26">
        <f ca="1">_xll.RiskBinomial($B$1,$B$2)</f>
        <v>100</v>
      </c>
      <c r="F26">
        <f t="shared" ca="1" si="5"/>
        <v>14</v>
      </c>
      <c r="G26">
        <f t="shared" ca="1" si="6"/>
        <v>100</v>
      </c>
      <c r="H26">
        <f t="shared" ca="1" si="7"/>
        <v>100</v>
      </c>
      <c r="I26">
        <f t="shared" ca="1" si="0"/>
        <v>0</v>
      </c>
    </row>
    <row r="27" spans="1:9">
      <c r="A27">
        <f t="shared" si="1"/>
        <v>23</v>
      </c>
      <c r="B27">
        <f t="shared" ca="1" si="2"/>
        <v>14</v>
      </c>
      <c r="C27">
        <f t="shared" ca="1" si="3"/>
        <v>100</v>
      </c>
      <c r="D27">
        <f t="shared" ca="1" si="4"/>
        <v>114</v>
      </c>
      <c r="E27">
        <f ca="1">_xll.RiskBinomial($B$1,$B$2)</f>
        <v>107</v>
      </c>
      <c r="F27">
        <f t="shared" ca="1" si="5"/>
        <v>7</v>
      </c>
      <c r="G27">
        <f t="shared" ca="1" si="6"/>
        <v>107</v>
      </c>
      <c r="H27">
        <f t="shared" ca="1" si="7"/>
        <v>107</v>
      </c>
      <c r="I27">
        <f t="shared" ca="1" si="0"/>
        <v>0</v>
      </c>
    </row>
    <row r="28" spans="1:9">
      <c r="A28">
        <f t="shared" si="1"/>
        <v>24</v>
      </c>
      <c r="B28">
        <f t="shared" ca="1" si="2"/>
        <v>7</v>
      </c>
      <c r="C28">
        <f t="shared" ca="1" si="3"/>
        <v>107</v>
      </c>
      <c r="D28">
        <f t="shared" ca="1" si="4"/>
        <v>114</v>
      </c>
      <c r="E28">
        <f ca="1">_xll.RiskBinomial($B$1,$B$2)</f>
        <v>103</v>
      </c>
      <c r="F28">
        <f t="shared" ca="1" si="5"/>
        <v>11</v>
      </c>
      <c r="G28">
        <f t="shared" ca="1" si="6"/>
        <v>103</v>
      </c>
      <c r="H28">
        <f t="shared" ca="1" si="7"/>
        <v>103</v>
      </c>
      <c r="I28">
        <f t="shared" ca="1" si="0"/>
        <v>0</v>
      </c>
    </row>
    <row r="29" spans="1:9">
      <c r="A29">
        <f t="shared" si="1"/>
        <v>25</v>
      </c>
      <c r="B29">
        <f t="shared" ca="1" si="2"/>
        <v>11</v>
      </c>
      <c r="C29">
        <f t="shared" ca="1" si="3"/>
        <v>103</v>
      </c>
      <c r="D29">
        <f t="shared" ca="1" si="4"/>
        <v>114</v>
      </c>
      <c r="E29">
        <f ca="1">_xll.RiskBinomial($B$1,$B$2)</f>
        <v>102</v>
      </c>
      <c r="F29">
        <f t="shared" ca="1" si="5"/>
        <v>12</v>
      </c>
      <c r="G29">
        <f t="shared" ca="1" si="6"/>
        <v>102</v>
      </c>
      <c r="H29">
        <f t="shared" ca="1" si="7"/>
        <v>102</v>
      </c>
      <c r="I29">
        <f t="shared" ca="1" si="0"/>
        <v>0</v>
      </c>
    </row>
    <row r="30" spans="1:9">
      <c r="A30">
        <f t="shared" si="1"/>
        <v>26</v>
      </c>
      <c r="B30">
        <f t="shared" ca="1" si="2"/>
        <v>12</v>
      </c>
      <c r="C30">
        <f t="shared" ca="1" si="3"/>
        <v>102</v>
      </c>
      <c r="D30">
        <f t="shared" ca="1" si="4"/>
        <v>114</v>
      </c>
      <c r="E30">
        <f ca="1">_xll.RiskBinomial($B$1,$B$2)</f>
        <v>90</v>
      </c>
      <c r="F30">
        <f t="shared" ca="1" si="5"/>
        <v>24</v>
      </c>
      <c r="G30">
        <f t="shared" ca="1" si="6"/>
        <v>90</v>
      </c>
      <c r="H30">
        <f t="shared" ca="1" si="7"/>
        <v>90</v>
      </c>
      <c r="I30">
        <f t="shared" ca="1" si="0"/>
        <v>0</v>
      </c>
    </row>
    <row r="31" spans="1:9">
      <c r="A31">
        <f t="shared" si="1"/>
        <v>27</v>
      </c>
      <c r="B31">
        <f t="shared" ca="1" si="2"/>
        <v>24</v>
      </c>
      <c r="C31">
        <f t="shared" ca="1" si="3"/>
        <v>90</v>
      </c>
      <c r="D31">
        <f t="shared" ca="1" si="4"/>
        <v>114</v>
      </c>
      <c r="E31">
        <f ca="1">_xll.RiskBinomial($B$1,$B$2)</f>
        <v>113</v>
      </c>
      <c r="F31">
        <f t="shared" ca="1" si="5"/>
        <v>1</v>
      </c>
      <c r="G31">
        <f t="shared" ca="1" si="6"/>
        <v>113</v>
      </c>
      <c r="H31">
        <f t="shared" ca="1" si="7"/>
        <v>110</v>
      </c>
      <c r="I31">
        <f t="shared" ca="1" si="0"/>
        <v>0</v>
      </c>
    </row>
    <row r="32" spans="1:9">
      <c r="A32">
        <f t="shared" si="1"/>
        <v>28</v>
      </c>
      <c r="B32">
        <f t="shared" ca="1" si="2"/>
        <v>1</v>
      </c>
      <c r="C32">
        <f t="shared" ca="1" si="3"/>
        <v>110</v>
      </c>
      <c r="D32">
        <f t="shared" ca="1" si="4"/>
        <v>111</v>
      </c>
      <c r="E32">
        <f ca="1">_xll.RiskBinomial($B$1,$B$2)</f>
        <v>94</v>
      </c>
      <c r="F32">
        <f t="shared" ca="1" si="5"/>
        <v>17</v>
      </c>
      <c r="G32">
        <f t="shared" ca="1" si="6"/>
        <v>97</v>
      </c>
      <c r="H32">
        <f t="shared" ca="1" si="7"/>
        <v>97</v>
      </c>
      <c r="I32">
        <f t="shared" ca="1" si="0"/>
        <v>0</v>
      </c>
    </row>
    <row r="33" spans="1:9">
      <c r="A33">
        <f t="shared" si="1"/>
        <v>29</v>
      </c>
      <c r="B33">
        <f t="shared" ca="1" si="2"/>
        <v>17</v>
      </c>
      <c r="C33">
        <f t="shared" ca="1" si="3"/>
        <v>97</v>
      </c>
      <c r="D33">
        <f t="shared" ca="1" si="4"/>
        <v>114</v>
      </c>
      <c r="E33">
        <f ca="1">_xll.RiskBinomial($B$1,$B$2)</f>
        <v>94</v>
      </c>
      <c r="F33">
        <f t="shared" ca="1" si="5"/>
        <v>20</v>
      </c>
      <c r="G33">
        <f t="shared" ca="1" si="6"/>
        <v>94</v>
      </c>
      <c r="H33">
        <f t="shared" ca="1" si="7"/>
        <v>94</v>
      </c>
      <c r="I33">
        <f t="shared" ca="1" si="0"/>
        <v>0</v>
      </c>
    </row>
    <row r="34" spans="1:9">
      <c r="A34">
        <f t="shared" si="1"/>
        <v>30</v>
      </c>
      <c r="B34">
        <f t="shared" ca="1" si="2"/>
        <v>20</v>
      </c>
      <c r="C34">
        <f t="shared" ca="1" si="3"/>
        <v>94</v>
      </c>
      <c r="D34">
        <f t="shared" ca="1" si="4"/>
        <v>114</v>
      </c>
      <c r="E34">
        <f ca="1">_xll.RiskBinomial($B$1,$B$2)</f>
        <v>119</v>
      </c>
      <c r="F34">
        <f t="shared" ca="1" si="5"/>
        <v>-5</v>
      </c>
      <c r="G34">
        <f t="shared" ca="1" si="6"/>
        <v>119</v>
      </c>
      <c r="H34">
        <f t="shared" ca="1" si="7"/>
        <v>110</v>
      </c>
      <c r="I34">
        <f t="shared" ca="1" si="0"/>
        <v>1</v>
      </c>
    </row>
    <row r="35" spans="1:9">
      <c r="A35">
        <f t="shared" si="1"/>
        <v>31</v>
      </c>
      <c r="B35">
        <f t="shared" ca="1" si="2"/>
        <v>-5</v>
      </c>
      <c r="C35">
        <f t="shared" ca="1" si="3"/>
        <v>110</v>
      </c>
      <c r="D35">
        <f t="shared" ca="1" si="4"/>
        <v>105</v>
      </c>
      <c r="E35">
        <f ca="1">_xll.RiskBinomial($B$1,$B$2)</f>
        <v>87</v>
      </c>
      <c r="F35">
        <f t="shared" ca="1" si="5"/>
        <v>18</v>
      </c>
      <c r="G35">
        <f t="shared" ca="1" si="6"/>
        <v>96</v>
      </c>
      <c r="H35">
        <f t="shared" ca="1" si="7"/>
        <v>96</v>
      </c>
      <c r="I35">
        <f t="shared" ca="1" si="0"/>
        <v>0</v>
      </c>
    </row>
    <row r="36" spans="1:9">
      <c r="A36">
        <f t="shared" si="1"/>
        <v>32</v>
      </c>
      <c r="B36">
        <f t="shared" ca="1" si="2"/>
        <v>18</v>
      </c>
      <c r="C36">
        <f t="shared" ca="1" si="3"/>
        <v>96</v>
      </c>
      <c r="D36">
        <f t="shared" ca="1" si="4"/>
        <v>114</v>
      </c>
      <c r="E36">
        <f ca="1">_xll.RiskBinomial($B$1,$B$2)</f>
        <v>98</v>
      </c>
      <c r="F36">
        <f t="shared" ca="1" si="5"/>
        <v>16</v>
      </c>
      <c r="G36">
        <f t="shared" ca="1" si="6"/>
        <v>98</v>
      </c>
      <c r="H36">
        <f t="shared" ca="1" si="7"/>
        <v>98</v>
      </c>
      <c r="I36">
        <f t="shared" ca="1" si="0"/>
        <v>0</v>
      </c>
    </row>
    <row r="37" spans="1:9">
      <c r="A37">
        <f t="shared" si="1"/>
        <v>33</v>
      </c>
      <c r="B37">
        <f t="shared" ca="1" si="2"/>
        <v>16</v>
      </c>
      <c r="C37">
        <f t="shared" ca="1" si="3"/>
        <v>98</v>
      </c>
      <c r="D37">
        <f t="shared" ca="1" si="4"/>
        <v>114</v>
      </c>
      <c r="E37">
        <f ca="1">_xll.RiskBinomial($B$1,$B$2)</f>
        <v>98</v>
      </c>
      <c r="F37">
        <f t="shared" ca="1" si="5"/>
        <v>16</v>
      </c>
      <c r="G37">
        <f t="shared" ca="1" si="6"/>
        <v>98</v>
      </c>
      <c r="H37">
        <f t="shared" ca="1" si="7"/>
        <v>98</v>
      </c>
      <c r="I37">
        <f t="shared" ca="1" si="0"/>
        <v>0</v>
      </c>
    </row>
    <row r="38" spans="1:9">
      <c r="A38">
        <f t="shared" si="1"/>
        <v>34</v>
      </c>
      <c r="B38">
        <f t="shared" ca="1" si="2"/>
        <v>16</v>
      </c>
      <c r="C38">
        <f t="shared" ca="1" si="3"/>
        <v>98</v>
      </c>
      <c r="D38">
        <f t="shared" ca="1" si="4"/>
        <v>114</v>
      </c>
      <c r="E38">
        <f ca="1">_xll.RiskBinomial($B$1,$B$2)</f>
        <v>105</v>
      </c>
      <c r="F38">
        <f t="shared" ca="1" si="5"/>
        <v>9</v>
      </c>
      <c r="G38">
        <f t="shared" ca="1" si="6"/>
        <v>105</v>
      </c>
      <c r="H38">
        <f t="shared" ca="1" si="7"/>
        <v>105</v>
      </c>
      <c r="I38">
        <f t="shared" ca="1" si="0"/>
        <v>0</v>
      </c>
    </row>
    <row r="39" spans="1:9">
      <c r="A39">
        <f t="shared" si="1"/>
        <v>35</v>
      </c>
      <c r="B39">
        <f t="shared" ca="1" si="2"/>
        <v>9</v>
      </c>
      <c r="C39">
        <f t="shared" ca="1" si="3"/>
        <v>105</v>
      </c>
      <c r="D39">
        <f t="shared" ca="1" si="4"/>
        <v>114</v>
      </c>
      <c r="E39">
        <f ca="1">_xll.RiskBinomial($B$1,$B$2)</f>
        <v>108</v>
      </c>
      <c r="F39">
        <f t="shared" ca="1" si="5"/>
        <v>6</v>
      </c>
      <c r="G39">
        <f t="shared" ca="1" si="6"/>
        <v>108</v>
      </c>
      <c r="H39">
        <f t="shared" ca="1" si="7"/>
        <v>108</v>
      </c>
      <c r="I39">
        <f t="shared" ca="1" si="0"/>
        <v>0</v>
      </c>
    </row>
    <row r="40" spans="1:9">
      <c r="A40">
        <f t="shared" si="1"/>
        <v>36</v>
      </c>
      <c r="B40">
        <f t="shared" ca="1" si="2"/>
        <v>6</v>
      </c>
      <c r="C40">
        <f t="shared" ca="1" si="3"/>
        <v>108</v>
      </c>
      <c r="D40">
        <f t="shared" ca="1" si="4"/>
        <v>114</v>
      </c>
      <c r="E40">
        <f ca="1">_xll.RiskBinomial($B$1,$B$2)</f>
        <v>106</v>
      </c>
      <c r="F40">
        <f t="shared" ca="1" si="5"/>
        <v>8</v>
      </c>
      <c r="G40">
        <f t="shared" ca="1" si="6"/>
        <v>106</v>
      </c>
      <c r="H40">
        <f t="shared" ca="1" si="7"/>
        <v>106</v>
      </c>
      <c r="I40">
        <f t="shared" ca="1" si="0"/>
        <v>0</v>
      </c>
    </row>
    <row r="41" spans="1:9">
      <c r="A41">
        <f t="shared" si="1"/>
        <v>37</v>
      </c>
      <c r="B41">
        <f t="shared" ca="1" si="2"/>
        <v>8</v>
      </c>
      <c r="C41">
        <f t="shared" ca="1" si="3"/>
        <v>106</v>
      </c>
      <c r="D41">
        <f t="shared" ca="1" si="4"/>
        <v>114</v>
      </c>
      <c r="E41">
        <f ca="1">_xll.RiskBinomial($B$1,$B$2)</f>
        <v>111</v>
      </c>
      <c r="F41">
        <f t="shared" ca="1" si="5"/>
        <v>3</v>
      </c>
      <c r="G41">
        <f t="shared" ca="1" si="6"/>
        <v>111</v>
      </c>
      <c r="H41">
        <f t="shared" ca="1" si="7"/>
        <v>110</v>
      </c>
      <c r="I41">
        <f t="shared" ca="1" si="0"/>
        <v>0</v>
      </c>
    </row>
    <row r="42" spans="1:9">
      <c r="A42">
        <f t="shared" si="1"/>
        <v>38</v>
      </c>
      <c r="B42">
        <f t="shared" ca="1" si="2"/>
        <v>3</v>
      </c>
      <c r="C42">
        <f t="shared" ca="1" si="3"/>
        <v>110</v>
      </c>
      <c r="D42">
        <f t="shared" ca="1" si="4"/>
        <v>113</v>
      </c>
      <c r="E42">
        <f ca="1">_xll.RiskBinomial($B$1,$B$2)</f>
        <v>97</v>
      </c>
      <c r="F42">
        <f t="shared" ca="1" si="5"/>
        <v>16</v>
      </c>
      <c r="G42">
        <f t="shared" ca="1" si="6"/>
        <v>98</v>
      </c>
      <c r="H42">
        <f t="shared" ca="1" si="7"/>
        <v>98</v>
      </c>
      <c r="I42">
        <f t="shared" ca="1" si="0"/>
        <v>0</v>
      </c>
    </row>
    <row r="43" spans="1:9">
      <c r="A43">
        <f t="shared" si="1"/>
        <v>39</v>
      </c>
      <c r="B43">
        <f t="shared" ca="1" si="2"/>
        <v>16</v>
      </c>
      <c r="C43">
        <f t="shared" ca="1" si="3"/>
        <v>98</v>
      </c>
      <c r="D43">
        <f t="shared" ca="1" si="4"/>
        <v>114</v>
      </c>
      <c r="E43">
        <f ca="1">_xll.RiskBinomial($B$1,$B$2)</f>
        <v>111</v>
      </c>
      <c r="F43">
        <f t="shared" ca="1" si="5"/>
        <v>3</v>
      </c>
      <c r="G43">
        <f t="shared" ca="1" si="6"/>
        <v>111</v>
      </c>
      <c r="H43">
        <f t="shared" ca="1" si="7"/>
        <v>110</v>
      </c>
      <c r="I43">
        <f t="shared" ca="1" si="0"/>
        <v>0</v>
      </c>
    </row>
    <row r="44" spans="1:9">
      <c r="A44">
        <f t="shared" si="1"/>
        <v>40</v>
      </c>
      <c r="B44">
        <f t="shared" ca="1" si="2"/>
        <v>3</v>
      </c>
      <c r="C44">
        <f t="shared" ca="1" si="3"/>
        <v>110</v>
      </c>
      <c r="D44">
        <f t="shared" ca="1" si="4"/>
        <v>113</v>
      </c>
      <c r="E44">
        <f ca="1">_xll.RiskBinomial($B$1,$B$2)</f>
        <v>93</v>
      </c>
      <c r="F44">
        <f t="shared" ca="1" si="5"/>
        <v>20</v>
      </c>
      <c r="G44">
        <f t="shared" ca="1" si="6"/>
        <v>94</v>
      </c>
      <c r="H44">
        <f t="shared" ca="1" si="7"/>
        <v>94</v>
      </c>
      <c r="I44">
        <f t="shared" ca="1" si="0"/>
        <v>0</v>
      </c>
    </row>
    <row r="45" spans="1:9">
      <c r="A45">
        <f t="shared" si="1"/>
        <v>41</v>
      </c>
      <c r="B45">
        <f t="shared" ca="1" si="2"/>
        <v>20</v>
      </c>
      <c r="C45">
        <f t="shared" ca="1" si="3"/>
        <v>94</v>
      </c>
      <c r="D45">
        <f t="shared" ca="1" si="4"/>
        <v>114</v>
      </c>
      <c r="E45">
        <f ca="1">_xll.RiskBinomial($B$1,$B$2)</f>
        <v>105</v>
      </c>
      <c r="F45">
        <f t="shared" ca="1" si="5"/>
        <v>9</v>
      </c>
      <c r="G45">
        <f t="shared" ca="1" si="6"/>
        <v>105</v>
      </c>
      <c r="H45">
        <f t="shared" ca="1" si="7"/>
        <v>105</v>
      </c>
      <c r="I45">
        <f t="shared" ca="1" si="0"/>
        <v>0</v>
      </c>
    </row>
    <row r="46" spans="1:9">
      <c r="A46">
        <f t="shared" si="1"/>
        <v>42</v>
      </c>
      <c r="B46">
        <f t="shared" ca="1" si="2"/>
        <v>9</v>
      </c>
      <c r="C46">
        <f t="shared" ca="1" si="3"/>
        <v>105</v>
      </c>
      <c r="D46">
        <f t="shared" ca="1" si="4"/>
        <v>114</v>
      </c>
      <c r="E46">
        <f ca="1">_xll.RiskBinomial($B$1,$B$2)</f>
        <v>102</v>
      </c>
      <c r="F46">
        <f t="shared" ca="1" si="5"/>
        <v>12</v>
      </c>
      <c r="G46">
        <f t="shared" ca="1" si="6"/>
        <v>102</v>
      </c>
      <c r="H46">
        <f t="shared" ca="1" si="7"/>
        <v>102</v>
      </c>
      <c r="I46">
        <f t="shared" ca="1" si="0"/>
        <v>0</v>
      </c>
    </row>
    <row r="47" spans="1:9">
      <c r="A47">
        <f t="shared" si="1"/>
        <v>43</v>
      </c>
      <c r="B47">
        <f t="shared" ca="1" si="2"/>
        <v>12</v>
      </c>
      <c r="C47">
        <f t="shared" ca="1" si="3"/>
        <v>102</v>
      </c>
      <c r="D47">
        <f t="shared" ca="1" si="4"/>
        <v>114</v>
      </c>
      <c r="E47">
        <f ca="1">_xll.RiskBinomial($B$1,$B$2)</f>
        <v>91</v>
      </c>
      <c r="F47">
        <f t="shared" ca="1" si="5"/>
        <v>23</v>
      </c>
      <c r="G47">
        <f t="shared" ca="1" si="6"/>
        <v>91</v>
      </c>
      <c r="H47">
        <f t="shared" ca="1" si="7"/>
        <v>91</v>
      </c>
      <c r="I47">
        <f t="shared" ca="1" si="0"/>
        <v>0</v>
      </c>
    </row>
    <row r="48" spans="1:9">
      <c r="A48">
        <f t="shared" si="1"/>
        <v>44</v>
      </c>
      <c r="B48">
        <f t="shared" ca="1" si="2"/>
        <v>23</v>
      </c>
      <c r="C48">
        <f t="shared" ca="1" si="3"/>
        <v>91</v>
      </c>
      <c r="D48">
        <f t="shared" ca="1" si="4"/>
        <v>114</v>
      </c>
      <c r="E48">
        <f ca="1">_xll.RiskBinomial($B$1,$B$2)</f>
        <v>101</v>
      </c>
      <c r="F48">
        <f t="shared" ca="1" si="5"/>
        <v>13</v>
      </c>
      <c r="G48">
        <f t="shared" ca="1" si="6"/>
        <v>101</v>
      </c>
      <c r="H48">
        <f t="shared" ca="1" si="7"/>
        <v>101</v>
      </c>
      <c r="I48">
        <f t="shared" ca="1" si="0"/>
        <v>0</v>
      </c>
    </row>
    <row r="49" spans="1:9">
      <c r="A49">
        <f t="shared" si="1"/>
        <v>45</v>
      </c>
      <c r="B49">
        <f t="shared" ca="1" si="2"/>
        <v>13</v>
      </c>
      <c r="C49">
        <f t="shared" ca="1" si="3"/>
        <v>101</v>
      </c>
      <c r="D49">
        <f t="shared" ca="1" si="4"/>
        <v>114</v>
      </c>
      <c r="E49">
        <f ca="1">_xll.RiskBinomial($B$1,$B$2)</f>
        <v>111</v>
      </c>
      <c r="F49">
        <f t="shared" ca="1" si="5"/>
        <v>3</v>
      </c>
      <c r="G49">
        <f t="shared" ca="1" si="6"/>
        <v>111</v>
      </c>
      <c r="H49">
        <f t="shared" ca="1" si="7"/>
        <v>110</v>
      </c>
      <c r="I49">
        <f t="shared" ca="1" si="0"/>
        <v>0</v>
      </c>
    </row>
    <row r="50" spans="1:9">
      <c r="A50">
        <f t="shared" si="1"/>
        <v>46</v>
      </c>
      <c r="B50">
        <f t="shared" ca="1" si="2"/>
        <v>3</v>
      </c>
      <c r="C50">
        <f t="shared" ca="1" si="3"/>
        <v>110</v>
      </c>
      <c r="D50">
        <f t="shared" ca="1" si="4"/>
        <v>113</v>
      </c>
      <c r="E50">
        <f ca="1">_xll.RiskBinomial($B$1,$B$2)</f>
        <v>100</v>
      </c>
      <c r="F50">
        <f t="shared" ca="1" si="5"/>
        <v>13</v>
      </c>
      <c r="G50">
        <f t="shared" ca="1" si="6"/>
        <v>101</v>
      </c>
      <c r="H50">
        <f t="shared" ca="1" si="7"/>
        <v>101</v>
      </c>
      <c r="I50">
        <f t="shared" ca="1" si="0"/>
        <v>0</v>
      </c>
    </row>
    <row r="51" spans="1:9">
      <c r="A51">
        <f t="shared" si="1"/>
        <v>47</v>
      </c>
      <c r="B51">
        <f t="shared" ca="1" si="2"/>
        <v>13</v>
      </c>
      <c r="C51">
        <f t="shared" ca="1" si="3"/>
        <v>101</v>
      </c>
      <c r="D51">
        <f t="shared" ca="1" si="4"/>
        <v>114</v>
      </c>
      <c r="E51">
        <f ca="1">_xll.RiskBinomial($B$1,$B$2)</f>
        <v>91</v>
      </c>
      <c r="F51">
        <f t="shared" ca="1" si="5"/>
        <v>23</v>
      </c>
      <c r="G51">
        <f t="shared" ca="1" si="6"/>
        <v>91</v>
      </c>
      <c r="H51">
        <f t="shared" ca="1" si="7"/>
        <v>91</v>
      </c>
      <c r="I51">
        <f t="shared" ca="1" si="0"/>
        <v>0</v>
      </c>
    </row>
    <row r="52" spans="1:9">
      <c r="A52">
        <f t="shared" si="1"/>
        <v>48</v>
      </c>
      <c r="B52">
        <f t="shared" ca="1" si="2"/>
        <v>23</v>
      </c>
      <c r="C52">
        <f t="shared" ca="1" si="3"/>
        <v>91</v>
      </c>
      <c r="D52">
        <f t="shared" ca="1" si="4"/>
        <v>114</v>
      </c>
      <c r="E52">
        <f ca="1">_xll.RiskBinomial($B$1,$B$2)</f>
        <v>127</v>
      </c>
      <c r="F52">
        <f t="shared" ca="1" si="5"/>
        <v>-13</v>
      </c>
      <c r="G52">
        <f t="shared" ca="1" si="6"/>
        <v>127</v>
      </c>
      <c r="H52">
        <f t="shared" ca="1" si="7"/>
        <v>110</v>
      </c>
      <c r="I52">
        <f t="shared" ca="1" si="0"/>
        <v>1</v>
      </c>
    </row>
    <row r="53" spans="1:9">
      <c r="A53">
        <f t="shared" si="1"/>
        <v>49</v>
      </c>
      <c r="B53">
        <f t="shared" ca="1" si="2"/>
        <v>-13</v>
      </c>
      <c r="C53">
        <f t="shared" ca="1" si="3"/>
        <v>110</v>
      </c>
      <c r="D53">
        <f t="shared" ca="1" si="4"/>
        <v>97</v>
      </c>
      <c r="E53">
        <f ca="1">_xll.RiskBinomial($B$1,$B$2)</f>
        <v>99</v>
      </c>
      <c r="F53">
        <f t="shared" ca="1" si="5"/>
        <v>-2</v>
      </c>
      <c r="G53">
        <f t="shared" ca="1" si="6"/>
        <v>116</v>
      </c>
      <c r="H53">
        <f t="shared" ca="1" si="7"/>
        <v>110</v>
      </c>
      <c r="I53">
        <f t="shared" ca="1" si="0"/>
        <v>1</v>
      </c>
    </row>
    <row r="54" spans="1:9">
      <c r="A54">
        <f t="shared" si="1"/>
        <v>50</v>
      </c>
      <c r="B54">
        <f t="shared" ca="1" si="2"/>
        <v>-2</v>
      </c>
      <c r="C54">
        <f t="shared" ca="1" si="3"/>
        <v>110</v>
      </c>
      <c r="D54">
        <f t="shared" ca="1" si="4"/>
        <v>108</v>
      </c>
      <c r="E54">
        <f ca="1">_xll.RiskBinomial($B$1,$B$2)</f>
        <v>121</v>
      </c>
      <c r="F54">
        <f t="shared" ca="1" si="5"/>
        <v>-13</v>
      </c>
      <c r="G54">
        <f t="shared" ca="1" si="6"/>
        <v>127</v>
      </c>
      <c r="H54">
        <f t="shared" ca="1" si="7"/>
        <v>110</v>
      </c>
      <c r="I54">
        <f t="shared" ca="1" si="0"/>
        <v>1</v>
      </c>
    </row>
    <row r="55" spans="1:9">
      <c r="A55">
        <f t="shared" si="1"/>
        <v>51</v>
      </c>
      <c r="B55">
        <f t="shared" ca="1" si="2"/>
        <v>-13</v>
      </c>
      <c r="C55">
        <f t="shared" ca="1" si="3"/>
        <v>110</v>
      </c>
      <c r="D55">
        <f t="shared" ca="1" si="4"/>
        <v>97</v>
      </c>
      <c r="E55">
        <f ca="1">_xll.RiskBinomial($B$1,$B$2)</f>
        <v>99</v>
      </c>
      <c r="F55">
        <f t="shared" ca="1" si="5"/>
        <v>-2</v>
      </c>
      <c r="G55">
        <f t="shared" ca="1" si="6"/>
        <v>116</v>
      </c>
      <c r="H55">
        <f t="shared" ca="1" si="7"/>
        <v>110</v>
      </c>
      <c r="I55">
        <f t="shared" ca="1" si="0"/>
        <v>1</v>
      </c>
    </row>
    <row r="56" spans="1:9">
      <c r="A56">
        <f t="shared" si="1"/>
        <v>52</v>
      </c>
      <c r="B56">
        <f t="shared" ca="1" si="2"/>
        <v>-2</v>
      </c>
      <c r="C56">
        <f t="shared" ca="1" si="3"/>
        <v>110</v>
      </c>
      <c r="D56">
        <f t="shared" ca="1" si="4"/>
        <v>108</v>
      </c>
      <c r="E56">
        <f ca="1">_xll.RiskBinomial($B$1,$B$2)</f>
        <v>77</v>
      </c>
      <c r="F56">
        <f t="shared" ca="1" si="5"/>
        <v>31</v>
      </c>
      <c r="G56">
        <f t="shared" ca="1" si="6"/>
        <v>83</v>
      </c>
      <c r="H56">
        <f t="shared" ca="1" si="7"/>
        <v>83</v>
      </c>
      <c r="I56">
        <f t="shared" ca="1" si="0"/>
        <v>0</v>
      </c>
    </row>
    <row r="57" spans="1:9">
      <c r="A57">
        <f t="shared" si="1"/>
        <v>53</v>
      </c>
      <c r="B57">
        <f t="shared" ca="1" si="2"/>
        <v>31</v>
      </c>
      <c r="C57">
        <f t="shared" ca="1" si="3"/>
        <v>83</v>
      </c>
      <c r="D57">
        <f t="shared" ca="1" si="4"/>
        <v>114</v>
      </c>
      <c r="E57">
        <f ca="1">_xll.RiskBinomial($B$1,$B$2)</f>
        <v>106</v>
      </c>
      <c r="F57">
        <f t="shared" ca="1" si="5"/>
        <v>8</v>
      </c>
      <c r="G57">
        <f t="shared" ca="1" si="6"/>
        <v>106</v>
      </c>
      <c r="H57">
        <f t="shared" ca="1" si="7"/>
        <v>106</v>
      </c>
      <c r="I57">
        <f t="shared" ca="1" si="0"/>
        <v>0</v>
      </c>
    </row>
    <row r="58" spans="1:9">
      <c r="A58">
        <f t="shared" si="1"/>
        <v>54</v>
      </c>
      <c r="B58">
        <f t="shared" ca="1" si="2"/>
        <v>8</v>
      </c>
      <c r="C58">
        <f t="shared" ca="1" si="3"/>
        <v>106</v>
      </c>
      <c r="D58">
        <f t="shared" ca="1" si="4"/>
        <v>114</v>
      </c>
      <c r="E58">
        <f ca="1">_xll.RiskBinomial($B$1,$B$2)</f>
        <v>101</v>
      </c>
      <c r="F58">
        <f t="shared" ca="1" si="5"/>
        <v>13</v>
      </c>
      <c r="G58">
        <f t="shared" ca="1" si="6"/>
        <v>101</v>
      </c>
      <c r="H58">
        <f t="shared" ca="1" si="7"/>
        <v>101</v>
      </c>
      <c r="I58">
        <f t="shared" ca="1" si="0"/>
        <v>0</v>
      </c>
    </row>
    <row r="59" spans="1:9">
      <c r="A59">
        <f t="shared" si="1"/>
        <v>55</v>
      </c>
      <c r="B59">
        <f t="shared" ca="1" si="2"/>
        <v>13</v>
      </c>
      <c r="C59">
        <f t="shared" ca="1" si="3"/>
        <v>101</v>
      </c>
      <c r="D59">
        <f t="shared" ca="1" si="4"/>
        <v>114</v>
      </c>
      <c r="E59">
        <f ca="1">_xll.RiskBinomial($B$1,$B$2)</f>
        <v>93</v>
      </c>
      <c r="F59">
        <f t="shared" ca="1" si="5"/>
        <v>21</v>
      </c>
      <c r="G59">
        <f t="shared" ca="1" si="6"/>
        <v>93</v>
      </c>
      <c r="H59">
        <f t="shared" ca="1" si="7"/>
        <v>93</v>
      </c>
      <c r="I59">
        <f t="shared" ca="1" si="0"/>
        <v>0</v>
      </c>
    </row>
    <row r="60" spans="1:9">
      <c r="A60">
        <f t="shared" si="1"/>
        <v>56</v>
      </c>
      <c r="B60">
        <f t="shared" ca="1" si="2"/>
        <v>21</v>
      </c>
      <c r="C60">
        <f t="shared" ca="1" si="3"/>
        <v>93</v>
      </c>
      <c r="D60">
        <f t="shared" ca="1" si="4"/>
        <v>114</v>
      </c>
      <c r="E60">
        <f ca="1">_xll.RiskBinomial($B$1,$B$2)</f>
        <v>97</v>
      </c>
      <c r="F60">
        <f t="shared" ca="1" si="5"/>
        <v>17</v>
      </c>
      <c r="G60">
        <f t="shared" ca="1" si="6"/>
        <v>97</v>
      </c>
      <c r="H60">
        <f t="shared" ca="1" si="7"/>
        <v>97</v>
      </c>
      <c r="I60">
        <f t="shared" ca="1" si="0"/>
        <v>0</v>
      </c>
    </row>
    <row r="61" spans="1:9">
      <c r="A61">
        <f t="shared" si="1"/>
        <v>57</v>
      </c>
      <c r="B61">
        <f t="shared" ca="1" si="2"/>
        <v>17</v>
      </c>
      <c r="C61">
        <f t="shared" ca="1" si="3"/>
        <v>97</v>
      </c>
      <c r="D61">
        <f t="shared" ca="1" si="4"/>
        <v>114</v>
      </c>
      <c r="E61">
        <f ca="1">_xll.RiskBinomial($B$1,$B$2)</f>
        <v>85</v>
      </c>
      <c r="F61">
        <f t="shared" ca="1" si="5"/>
        <v>29</v>
      </c>
      <c r="G61">
        <f t="shared" ca="1" si="6"/>
        <v>85</v>
      </c>
      <c r="H61">
        <f t="shared" ca="1" si="7"/>
        <v>85</v>
      </c>
      <c r="I61">
        <f t="shared" ca="1" si="0"/>
        <v>0</v>
      </c>
    </row>
    <row r="62" spans="1:9">
      <c r="A62">
        <f t="shared" si="1"/>
        <v>58</v>
      </c>
      <c r="B62">
        <f t="shared" ca="1" si="2"/>
        <v>29</v>
      </c>
      <c r="C62">
        <f t="shared" ca="1" si="3"/>
        <v>85</v>
      </c>
      <c r="D62">
        <f t="shared" ca="1" si="4"/>
        <v>114</v>
      </c>
      <c r="E62">
        <f ca="1">_xll.RiskBinomial($B$1,$B$2)</f>
        <v>103</v>
      </c>
      <c r="F62">
        <f t="shared" ca="1" si="5"/>
        <v>11</v>
      </c>
      <c r="G62">
        <f t="shared" ca="1" si="6"/>
        <v>103</v>
      </c>
      <c r="H62">
        <f t="shared" ca="1" si="7"/>
        <v>103</v>
      </c>
      <c r="I62">
        <f t="shared" ca="1" si="0"/>
        <v>0</v>
      </c>
    </row>
    <row r="63" spans="1:9">
      <c r="A63">
        <f t="shared" si="1"/>
        <v>59</v>
      </c>
      <c r="B63">
        <f t="shared" ca="1" si="2"/>
        <v>11</v>
      </c>
      <c r="C63">
        <f t="shared" ca="1" si="3"/>
        <v>103</v>
      </c>
      <c r="D63">
        <f t="shared" ca="1" si="4"/>
        <v>114</v>
      </c>
      <c r="E63">
        <f ca="1">_xll.RiskBinomial($B$1,$B$2)</f>
        <v>100</v>
      </c>
      <c r="F63">
        <f t="shared" ca="1" si="5"/>
        <v>14</v>
      </c>
      <c r="G63">
        <f t="shared" ca="1" si="6"/>
        <v>100</v>
      </c>
      <c r="H63">
        <f t="shared" ca="1" si="7"/>
        <v>100</v>
      </c>
      <c r="I63">
        <f t="shared" ca="1" si="0"/>
        <v>0</v>
      </c>
    </row>
    <row r="64" spans="1:9">
      <c r="A64">
        <f t="shared" si="1"/>
        <v>60</v>
      </c>
      <c r="B64">
        <f t="shared" ca="1" si="2"/>
        <v>14</v>
      </c>
      <c r="C64">
        <f t="shared" ca="1" si="3"/>
        <v>100</v>
      </c>
      <c r="D64">
        <f t="shared" ca="1" si="4"/>
        <v>114</v>
      </c>
      <c r="E64">
        <f ca="1">_xll.RiskBinomial($B$1,$B$2)</f>
        <v>83</v>
      </c>
      <c r="F64">
        <f t="shared" ca="1" si="5"/>
        <v>31</v>
      </c>
      <c r="G64">
        <f t="shared" ca="1" si="6"/>
        <v>83</v>
      </c>
      <c r="H64">
        <f t="shared" ca="1" si="7"/>
        <v>83</v>
      </c>
      <c r="I64">
        <f t="shared" ca="1" si="0"/>
        <v>0</v>
      </c>
    </row>
    <row r="65" spans="1:9">
      <c r="A65">
        <f t="shared" si="1"/>
        <v>61</v>
      </c>
      <c r="B65">
        <f t="shared" ca="1" si="2"/>
        <v>31</v>
      </c>
      <c r="C65">
        <f t="shared" ca="1" si="3"/>
        <v>83</v>
      </c>
      <c r="D65">
        <f t="shared" ca="1" si="4"/>
        <v>114</v>
      </c>
      <c r="E65">
        <f ca="1">_xll.RiskBinomial($B$1,$B$2)</f>
        <v>107</v>
      </c>
      <c r="F65">
        <f t="shared" ca="1" si="5"/>
        <v>7</v>
      </c>
      <c r="G65">
        <f t="shared" ca="1" si="6"/>
        <v>107</v>
      </c>
      <c r="H65">
        <f t="shared" ca="1" si="7"/>
        <v>107</v>
      </c>
      <c r="I65">
        <f t="shared" ca="1" si="0"/>
        <v>0</v>
      </c>
    </row>
    <row r="66" spans="1:9">
      <c r="A66">
        <f t="shared" si="1"/>
        <v>62</v>
      </c>
      <c r="B66">
        <f t="shared" ca="1" si="2"/>
        <v>7</v>
      </c>
      <c r="C66">
        <f t="shared" ca="1" si="3"/>
        <v>107</v>
      </c>
      <c r="D66">
        <f t="shared" ca="1" si="4"/>
        <v>114</v>
      </c>
      <c r="E66">
        <f ca="1">_xll.RiskBinomial($B$1,$B$2)</f>
        <v>105</v>
      </c>
      <c r="F66">
        <f t="shared" ca="1" si="5"/>
        <v>9</v>
      </c>
      <c r="G66">
        <f t="shared" ca="1" si="6"/>
        <v>105</v>
      </c>
      <c r="H66">
        <f t="shared" ca="1" si="7"/>
        <v>105</v>
      </c>
      <c r="I66">
        <f t="shared" ca="1" si="0"/>
        <v>0</v>
      </c>
    </row>
    <row r="67" spans="1:9">
      <c r="A67">
        <f t="shared" si="1"/>
        <v>63</v>
      </c>
      <c r="B67">
        <f t="shared" ca="1" si="2"/>
        <v>9</v>
      </c>
      <c r="C67">
        <f t="shared" ca="1" si="3"/>
        <v>105</v>
      </c>
      <c r="D67">
        <f t="shared" ca="1" si="4"/>
        <v>114</v>
      </c>
      <c r="E67">
        <f ca="1">_xll.RiskBinomial($B$1,$B$2)</f>
        <v>93</v>
      </c>
      <c r="F67">
        <f t="shared" ca="1" si="5"/>
        <v>21</v>
      </c>
      <c r="G67">
        <f t="shared" ca="1" si="6"/>
        <v>93</v>
      </c>
      <c r="H67">
        <f t="shared" ca="1" si="7"/>
        <v>93</v>
      </c>
      <c r="I67">
        <f t="shared" ca="1" si="0"/>
        <v>0</v>
      </c>
    </row>
    <row r="68" spans="1:9">
      <c r="A68">
        <f t="shared" si="1"/>
        <v>64</v>
      </c>
      <c r="B68">
        <f t="shared" ca="1" si="2"/>
        <v>21</v>
      </c>
      <c r="C68">
        <f t="shared" ca="1" si="3"/>
        <v>93</v>
      </c>
      <c r="D68">
        <f t="shared" ca="1" si="4"/>
        <v>114</v>
      </c>
      <c r="E68">
        <f ca="1">_xll.RiskBinomial($B$1,$B$2)</f>
        <v>107</v>
      </c>
      <c r="F68">
        <f t="shared" ca="1" si="5"/>
        <v>7</v>
      </c>
      <c r="G68">
        <f t="shared" ca="1" si="6"/>
        <v>107</v>
      </c>
      <c r="H68">
        <f t="shared" ca="1" si="7"/>
        <v>107</v>
      </c>
      <c r="I68">
        <f t="shared" ca="1" si="0"/>
        <v>0</v>
      </c>
    </row>
    <row r="69" spans="1:9">
      <c r="A69">
        <f t="shared" si="1"/>
        <v>65</v>
      </c>
      <c r="B69">
        <f t="shared" ca="1" si="2"/>
        <v>7</v>
      </c>
      <c r="C69">
        <f t="shared" ca="1" si="3"/>
        <v>107</v>
      </c>
      <c r="D69">
        <f t="shared" ca="1" si="4"/>
        <v>114</v>
      </c>
      <c r="E69">
        <f ca="1">_xll.RiskBinomial($B$1,$B$2)</f>
        <v>100</v>
      </c>
      <c r="F69">
        <f t="shared" ca="1" si="5"/>
        <v>14</v>
      </c>
      <c r="G69">
        <f t="shared" ca="1" si="6"/>
        <v>100</v>
      </c>
      <c r="H69">
        <f t="shared" ca="1" si="7"/>
        <v>100</v>
      </c>
      <c r="I69">
        <f t="shared" ca="1" si="0"/>
        <v>0</v>
      </c>
    </row>
    <row r="70" spans="1:9">
      <c r="A70">
        <f t="shared" si="1"/>
        <v>66</v>
      </c>
      <c r="B70">
        <f t="shared" ca="1" si="2"/>
        <v>14</v>
      </c>
      <c r="C70">
        <f t="shared" ca="1" si="3"/>
        <v>100</v>
      </c>
      <c r="D70">
        <f t="shared" ca="1" si="4"/>
        <v>114</v>
      </c>
      <c r="E70">
        <f ca="1">_xll.RiskBinomial($B$1,$B$2)</f>
        <v>106</v>
      </c>
      <c r="F70">
        <f t="shared" ca="1" si="5"/>
        <v>8</v>
      </c>
      <c r="G70">
        <f t="shared" ca="1" si="6"/>
        <v>106</v>
      </c>
      <c r="H70">
        <f t="shared" ca="1" si="7"/>
        <v>106</v>
      </c>
      <c r="I70">
        <f t="shared" ref="I70:I133" ca="1" si="8">IF(F70&lt;0,1,0)</f>
        <v>0</v>
      </c>
    </row>
    <row r="71" spans="1:9">
      <c r="A71">
        <f t="shared" ref="A71:A134" si="9">A70+1</f>
        <v>67</v>
      </c>
      <c r="B71">
        <f t="shared" ref="B71:B134" ca="1" si="10">F70</f>
        <v>8</v>
      </c>
      <c r="C71">
        <f t="shared" ref="C71:C134" ca="1" si="11">H70</f>
        <v>106</v>
      </c>
      <c r="D71">
        <f t="shared" ref="D71:D134" ca="1" si="12">B71+C71</f>
        <v>114</v>
      </c>
      <c r="E71">
        <f ca="1">_xll.RiskBinomial($B$1,$B$2)</f>
        <v>103</v>
      </c>
      <c r="F71">
        <f t="shared" ref="F71:F134" ca="1" si="13">D71-E71</f>
        <v>11</v>
      </c>
      <c r="G71">
        <f t="shared" ref="G71:G134" ca="1" si="14">$H$1-F71</f>
        <v>103</v>
      </c>
      <c r="H71">
        <f t="shared" ref="H71:H134" ca="1" si="15">MIN(G71,$H$2)</f>
        <v>103</v>
      </c>
      <c r="I71">
        <f t="shared" ca="1" si="8"/>
        <v>0</v>
      </c>
    </row>
    <row r="72" spans="1:9">
      <c r="A72">
        <f t="shared" si="9"/>
        <v>68</v>
      </c>
      <c r="B72">
        <f t="shared" ca="1" si="10"/>
        <v>11</v>
      </c>
      <c r="C72">
        <f t="shared" ca="1" si="11"/>
        <v>103</v>
      </c>
      <c r="D72">
        <f t="shared" ca="1" si="12"/>
        <v>114</v>
      </c>
      <c r="E72">
        <f ca="1">_xll.RiskBinomial($B$1,$B$2)</f>
        <v>79</v>
      </c>
      <c r="F72">
        <f t="shared" ca="1" si="13"/>
        <v>35</v>
      </c>
      <c r="G72">
        <f t="shared" ca="1" si="14"/>
        <v>79</v>
      </c>
      <c r="H72">
        <f t="shared" ca="1" si="15"/>
        <v>79</v>
      </c>
      <c r="I72">
        <f t="shared" ca="1" si="8"/>
        <v>0</v>
      </c>
    </row>
    <row r="73" spans="1:9">
      <c r="A73">
        <f t="shared" si="9"/>
        <v>69</v>
      </c>
      <c r="B73">
        <f t="shared" ca="1" si="10"/>
        <v>35</v>
      </c>
      <c r="C73">
        <f t="shared" ca="1" si="11"/>
        <v>79</v>
      </c>
      <c r="D73">
        <f t="shared" ca="1" si="12"/>
        <v>114</v>
      </c>
      <c r="E73">
        <f ca="1">_xll.RiskBinomial($B$1,$B$2)</f>
        <v>90</v>
      </c>
      <c r="F73">
        <f t="shared" ca="1" si="13"/>
        <v>24</v>
      </c>
      <c r="G73">
        <f t="shared" ca="1" si="14"/>
        <v>90</v>
      </c>
      <c r="H73">
        <f t="shared" ca="1" si="15"/>
        <v>90</v>
      </c>
      <c r="I73">
        <f t="shared" ca="1" si="8"/>
        <v>0</v>
      </c>
    </row>
    <row r="74" spans="1:9">
      <c r="A74">
        <f t="shared" si="9"/>
        <v>70</v>
      </c>
      <c r="B74">
        <f t="shared" ca="1" si="10"/>
        <v>24</v>
      </c>
      <c r="C74">
        <f t="shared" ca="1" si="11"/>
        <v>90</v>
      </c>
      <c r="D74">
        <f t="shared" ca="1" si="12"/>
        <v>114</v>
      </c>
      <c r="E74">
        <f ca="1">_xll.RiskBinomial($B$1,$B$2)</f>
        <v>90</v>
      </c>
      <c r="F74">
        <f t="shared" ca="1" si="13"/>
        <v>24</v>
      </c>
      <c r="G74">
        <f t="shared" ca="1" si="14"/>
        <v>90</v>
      </c>
      <c r="H74">
        <f t="shared" ca="1" si="15"/>
        <v>90</v>
      </c>
      <c r="I74">
        <f t="shared" ca="1" si="8"/>
        <v>0</v>
      </c>
    </row>
    <row r="75" spans="1:9">
      <c r="A75">
        <f t="shared" si="9"/>
        <v>71</v>
      </c>
      <c r="B75">
        <f t="shared" ca="1" si="10"/>
        <v>24</v>
      </c>
      <c r="C75">
        <f t="shared" ca="1" si="11"/>
        <v>90</v>
      </c>
      <c r="D75">
        <f t="shared" ca="1" si="12"/>
        <v>114</v>
      </c>
      <c r="E75">
        <f ca="1">_xll.RiskBinomial($B$1,$B$2)</f>
        <v>93</v>
      </c>
      <c r="F75">
        <f t="shared" ca="1" si="13"/>
        <v>21</v>
      </c>
      <c r="G75">
        <f t="shared" ca="1" si="14"/>
        <v>93</v>
      </c>
      <c r="H75">
        <f t="shared" ca="1" si="15"/>
        <v>93</v>
      </c>
      <c r="I75">
        <f t="shared" ca="1" si="8"/>
        <v>0</v>
      </c>
    </row>
    <row r="76" spans="1:9">
      <c r="A76">
        <f t="shared" si="9"/>
        <v>72</v>
      </c>
      <c r="B76">
        <f t="shared" ca="1" si="10"/>
        <v>21</v>
      </c>
      <c r="C76">
        <f t="shared" ca="1" si="11"/>
        <v>93</v>
      </c>
      <c r="D76">
        <f t="shared" ca="1" si="12"/>
        <v>114</v>
      </c>
      <c r="E76">
        <f ca="1">_xll.RiskBinomial($B$1,$B$2)</f>
        <v>101</v>
      </c>
      <c r="F76">
        <f t="shared" ca="1" si="13"/>
        <v>13</v>
      </c>
      <c r="G76">
        <f t="shared" ca="1" si="14"/>
        <v>101</v>
      </c>
      <c r="H76">
        <f t="shared" ca="1" si="15"/>
        <v>101</v>
      </c>
      <c r="I76">
        <f t="shared" ca="1" si="8"/>
        <v>0</v>
      </c>
    </row>
    <row r="77" spans="1:9">
      <c r="A77">
        <f t="shared" si="9"/>
        <v>73</v>
      </c>
      <c r="B77">
        <f t="shared" ca="1" si="10"/>
        <v>13</v>
      </c>
      <c r="C77">
        <f t="shared" ca="1" si="11"/>
        <v>101</v>
      </c>
      <c r="D77">
        <f t="shared" ca="1" si="12"/>
        <v>114</v>
      </c>
      <c r="E77">
        <f ca="1">_xll.RiskBinomial($B$1,$B$2)</f>
        <v>103</v>
      </c>
      <c r="F77">
        <f t="shared" ca="1" si="13"/>
        <v>11</v>
      </c>
      <c r="G77">
        <f t="shared" ca="1" si="14"/>
        <v>103</v>
      </c>
      <c r="H77">
        <f t="shared" ca="1" si="15"/>
        <v>103</v>
      </c>
      <c r="I77">
        <f t="shared" ca="1" si="8"/>
        <v>0</v>
      </c>
    </row>
    <row r="78" spans="1:9">
      <c r="A78">
        <f t="shared" si="9"/>
        <v>74</v>
      </c>
      <c r="B78">
        <f t="shared" ca="1" si="10"/>
        <v>11</v>
      </c>
      <c r="C78">
        <f t="shared" ca="1" si="11"/>
        <v>103</v>
      </c>
      <c r="D78">
        <f t="shared" ca="1" si="12"/>
        <v>114</v>
      </c>
      <c r="E78">
        <f ca="1">_xll.RiskBinomial($B$1,$B$2)</f>
        <v>112</v>
      </c>
      <c r="F78">
        <f t="shared" ca="1" si="13"/>
        <v>2</v>
      </c>
      <c r="G78">
        <f t="shared" ca="1" si="14"/>
        <v>112</v>
      </c>
      <c r="H78">
        <f t="shared" ca="1" si="15"/>
        <v>110</v>
      </c>
      <c r="I78">
        <f t="shared" ca="1" si="8"/>
        <v>0</v>
      </c>
    </row>
    <row r="79" spans="1:9">
      <c r="A79">
        <f t="shared" si="9"/>
        <v>75</v>
      </c>
      <c r="B79">
        <f t="shared" ca="1" si="10"/>
        <v>2</v>
      </c>
      <c r="C79">
        <f t="shared" ca="1" si="11"/>
        <v>110</v>
      </c>
      <c r="D79">
        <f t="shared" ca="1" si="12"/>
        <v>112</v>
      </c>
      <c r="E79">
        <f ca="1">_xll.RiskBinomial($B$1,$B$2)</f>
        <v>104</v>
      </c>
      <c r="F79">
        <f t="shared" ca="1" si="13"/>
        <v>8</v>
      </c>
      <c r="G79">
        <f t="shared" ca="1" si="14"/>
        <v>106</v>
      </c>
      <c r="H79">
        <f t="shared" ca="1" si="15"/>
        <v>106</v>
      </c>
      <c r="I79">
        <f t="shared" ca="1" si="8"/>
        <v>0</v>
      </c>
    </row>
    <row r="80" spans="1:9">
      <c r="A80">
        <f t="shared" si="9"/>
        <v>76</v>
      </c>
      <c r="B80">
        <f t="shared" ca="1" si="10"/>
        <v>8</v>
      </c>
      <c r="C80">
        <f t="shared" ca="1" si="11"/>
        <v>106</v>
      </c>
      <c r="D80">
        <f t="shared" ca="1" si="12"/>
        <v>114</v>
      </c>
      <c r="E80">
        <f ca="1">_xll.RiskBinomial($B$1,$B$2)</f>
        <v>111</v>
      </c>
      <c r="F80">
        <f t="shared" ca="1" si="13"/>
        <v>3</v>
      </c>
      <c r="G80">
        <f t="shared" ca="1" si="14"/>
        <v>111</v>
      </c>
      <c r="H80">
        <f t="shared" ca="1" si="15"/>
        <v>110</v>
      </c>
      <c r="I80">
        <f t="shared" ca="1" si="8"/>
        <v>0</v>
      </c>
    </row>
    <row r="81" spans="1:9">
      <c r="A81">
        <f t="shared" si="9"/>
        <v>77</v>
      </c>
      <c r="B81">
        <f t="shared" ca="1" si="10"/>
        <v>3</v>
      </c>
      <c r="C81">
        <f t="shared" ca="1" si="11"/>
        <v>110</v>
      </c>
      <c r="D81">
        <f t="shared" ca="1" si="12"/>
        <v>113</v>
      </c>
      <c r="E81">
        <f ca="1">_xll.RiskBinomial($B$1,$B$2)</f>
        <v>106</v>
      </c>
      <c r="F81">
        <f t="shared" ca="1" si="13"/>
        <v>7</v>
      </c>
      <c r="G81">
        <f t="shared" ca="1" si="14"/>
        <v>107</v>
      </c>
      <c r="H81">
        <f t="shared" ca="1" si="15"/>
        <v>107</v>
      </c>
      <c r="I81">
        <f t="shared" ca="1" si="8"/>
        <v>0</v>
      </c>
    </row>
    <row r="82" spans="1:9">
      <c r="A82">
        <f t="shared" si="9"/>
        <v>78</v>
      </c>
      <c r="B82">
        <f t="shared" ca="1" si="10"/>
        <v>7</v>
      </c>
      <c r="C82">
        <f t="shared" ca="1" si="11"/>
        <v>107</v>
      </c>
      <c r="D82">
        <f t="shared" ca="1" si="12"/>
        <v>114</v>
      </c>
      <c r="E82">
        <f ca="1">_xll.RiskBinomial($B$1,$B$2)</f>
        <v>103</v>
      </c>
      <c r="F82">
        <f t="shared" ca="1" si="13"/>
        <v>11</v>
      </c>
      <c r="G82">
        <f t="shared" ca="1" si="14"/>
        <v>103</v>
      </c>
      <c r="H82">
        <f t="shared" ca="1" si="15"/>
        <v>103</v>
      </c>
      <c r="I82">
        <f t="shared" ca="1" si="8"/>
        <v>0</v>
      </c>
    </row>
    <row r="83" spans="1:9">
      <c r="A83">
        <f t="shared" si="9"/>
        <v>79</v>
      </c>
      <c r="B83">
        <f t="shared" ca="1" si="10"/>
        <v>11</v>
      </c>
      <c r="C83">
        <f t="shared" ca="1" si="11"/>
        <v>103</v>
      </c>
      <c r="D83">
        <f t="shared" ca="1" si="12"/>
        <v>114</v>
      </c>
      <c r="E83">
        <f ca="1">_xll.RiskBinomial($B$1,$B$2)</f>
        <v>101</v>
      </c>
      <c r="F83">
        <f t="shared" ca="1" si="13"/>
        <v>13</v>
      </c>
      <c r="G83">
        <f t="shared" ca="1" si="14"/>
        <v>101</v>
      </c>
      <c r="H83">
        <f t="shared" ca="1" si="15"/>
        <v>101</v>
      </c>
      <c r="I83">
        <f t="shared" ca="1" si="8"/>
        <v>0</v>
      </c>
    </row>
    <row r="84" spans="1:9">
      <c r="A84">
        <f t="shared" si="9"/>
        <v>80</v>
      </c>
      <c r="B84">
        <f t="shared" ca="1" si="10"/>
        <v>13</v>
      </c>
      <c r="C84">
        <f t="shared" ca="1" si="11"/>
        <v>101</v>
      </c>
      <c r="D84">
        <f t="shared" ca="1" si="12"/>
        <v>114</v>
      </c>
      <c r="E84">
        <f ca="1">_xll.RiskBinomial($B$1,$B$2)</f>
        <v>109</v>
      </c>
      <c r="F84">
        <f t="shared" ca="1" si="13"/>
        <v>5</v>
      </c>
      <c r="G84">
        <f t="shared" ca="1" si="14"/>
        <v>109</v>
      </c>
      <c r="H84">
        <f t="shared" ca="1" si="15"/>
        <v>109</v>
      </c>
      <c r="I84">
        <f t="shared" ca="1" si="8"/>
        <v>0</v>
      </c>
    </row>
    <row r="85" spans="1:9">
      <c r="A85">
        <f t="shared" si="9"/>
        <v>81</v>
      </c>
      <c r="B85">
        <f t="shared" ca="1" si="10"/>
        <v>5</v>
      </c>
      <c r="C85">
        <f t="shared" ca="1" si="11"/>
        <v>109</v>
      </c>
      <c r="D85">
        <f t="shared" ca="1" si="12"/>
        <v>114</v>
      </c>
      <c r="E85">
        <f ca="1">_xll.RiskBinomial($B$1,$B$2)</f>
        <v>100</v>
      </c>
      <c r="F85">
        <f t="shared" ca="1" si="13"/>
        <v>14</v>
      </c>
      <c r="G85">
        <f t="shared" ca="1" si="14"/>
        <v>100</v>
      </c>
      <c r="H85">
        <f t="shared" ca="1" si="15"/>
        <v>100</v>
      </c>
      <c r="I85">
        <f t="shared" ca="1" si="8"/>
        <v>0</v>
      </c>
    </row>
    <row r="86" spans="1:9">
      <c r="A86">
        <f t="shared" si="9"/>
        <v>82</v>
      </c>
      <c r="B86">
        <f t="shared" ca="1" si="10"/>
        <v>14</v>
      </c>
      <c r="C86">
        <f t="shared" ca="1" si="11"/>
        <v>100</v>
      </c>
      <c r="D86">
        <f t="shared" ca="1" si="12"/>
        <v>114</v>
      </c>
      <c r="E86">
        <f ca="1">_xll.RiskBinomial($B$1,$B$2)</f>
        <v>100</v>
      </c>
      <c r="F86">
        <f t="shared" ca="1" si="13"/>
        <v>14</v>
      </c>
      <c r="G86">
        <f t="shared" ca="1" si="14"/>
        <v>100</v>
      </c>
      <c r="H86">
        <f t="shared" ca="1" si="15"/>
        <v>100</v>
      </c>
      <c r="I86">
        <f t="shared" ca="1" si="8"/>
        <v>0</v>
      </c>
    </row>
    <row r="87" spans="1:9">
      <c r="A87">
        <f t="shared" si="9"/>
        <v>83</v>
      </c>
      <c r="B87">
        <f t="shared" ca="1" si="10"/>
        <v>14</v>
      </c>
      <c r="C87">
        <f t="shared" ca="1" si="11"/>
        <v>100</v>
      </c>
      <c r="D87">
        <f t="shared" ca="1" si="12"/>
        <v>114</v>
      </c>
      <c r="E87">
        <f ca="1">_xll.RiskBinomial($B$1,$B$2)</f>
        <v>92</v>
      </c>
      <c r="F87">
        <f t="shared" ca="1" si="13"/>
        <v>22</v>
      </c>
      <c r="G87">
        <f t="shared" ca="1" si="14"/>
        <v>92</v>
      </c>
      <c r="H87">
        <f t="shared" ca="1" si="15"/>
        <v>92</v>
      </c>
      <c r="I87">
        <f t="shared" ca="1" si="8"/>
        <v>0</v>
      </c>
    </row>
    <row r="88" spans="1:9">
      <c r="A88">
        <f t="shared" si="9"/>
        <v>84</v>
      </c>
      <c r="B88">
        <f t="shared" ca="1" si="10"/>
        <v>22</v>
      </c>
      <c r="C88">
        <f t="shared" ca="1" si="11"/>
        <v>92</v>
      </c>
      <c r="D88">
        <f t="shared" ca="1" si="12"/>
        <v>114</v>
      </c>
      <c r="E88">
        <f ca="1">_xll.RiskBinomial($B$1,$B$2)</f>
        <v>96</v>
      </c>
      <c r="F88">
        <f t="shared" ca="1" si="13"/>
        <v>18</v>
      </c>
      <c r="G88">
        <f t="shared" ca="1" si="14"/>
        <v>96</v>
      </c>
      <c r="H88">
        <f t="shared" ca="1" si="15"/>
        <v>96</v>
      </c>
      <c r="I88">
        <f t="shared" ca="1" si="8"/>
        <v>0</v>
      </c>
    </row>
    <row r="89" spans="1:9">
      <c r="A89">
        <f t="shared" si="9"/>
        <v>85</v>
      </c>
      <c r="B89">
        <f t="shared" ca="1" si="10"/>
        <v>18</v>
      </c>
      <c r="C89">
        <f t="shared" ca="1" si="11"/>
        <v>96</v>
      </c>
      <c r="D89">
        <f t="shared" ca="1" si="12"/>
        <v>114</v>
      </c>
      <c r="E89">
        <f ca="1">_xll.RiskBinomial($B$1,$B$2)</f>
        <v>101</v>
      </c>
      <c r="F89">
        <f t="shared" ca="1" si="13"/>
        <v>13</v>
      </c>
      <c r="G89">
        <f t="shared" ca="1" si="14"/>
        <v>101</v>
      </c>
      <c r="H89">
        <f t="shared" ca="1" si="15"/>
        <v>101</v>
      </c>
      <c r="I89">
        <f t="shared" ca="1" si="8"/>
        <v>0</v>
      </c>
    </row>
    <row r="90" spans="1:9">
      <c r="A90">
        <f t="shared" si="9"/>
        <v>86</v>
      </c>
      <c r="B90">
        <f t="shared" ca="1" si="10"/>
        <v>13</v>
      </c>
      <c r="C90">
        <f t="shared" ca="1" si="11"/>
        <v>101</v>
      </c>
      <c r="D90">
        <f t="shared" ca="1" si="12"/>
        <v>114</v>
      </c>
      <c r="E90">
        <f ca="1">_xll.RiskBinomial($B$1,$B$2)</f>
        <v>88</v>
      </c>
      <c r="F90">
        <f t="shared" ca="1" si="13"/>
        <v>26</v>
      </c>
      <c r="G90">
        <f t="shared" ca="1" si="14"/>
        <v>88</v>
      </c>
      <c r="H90">
        <f t="shared" ca="1" si="15"/>
        <v>88</v>
      </c>
      <c r="I90">
        <f t="shared" ca="1" si="8"/>
        <v>0</v>
      </c>
    </row>
    <row r="91" spans="1:9">
      <c r="A91">
        <f t="shared" si="9"/>
        <v>87</v>
      </c>
      <c r="B91">
        <f t="shared" ca="1" si="10"/>
        <v>26</v>
      </c>
      <c r="C91">
        <f t="shared" ca="1" si="11"/>
        <v>88</v>
      </c>
      <c r="D91">
        <f t="shared" ca="1" si="12"/>
        <v>114</v>
      </c>
      <c r="E91">
        <f ca="1">_xll.RiskBinomial($B$1,$B$2)</f>
        <v>110</v>
      </c>
      <c r="F91">
        <f t="shared" ca="1" si="13"/>
        <v>4</v>
      </c>
      <c r="G91">
        <f t="shared" ca="1" si="14"/>
        <v>110</v>
      </c>
      <c r="H91">
        <f t="shared" ca="1" si="15"/>
        <v>110</v>
      </c>
      <c r="I91">
        <f t="shared" ca="1" si="8"/>
        <v>0</v>
      </c>
    </row>
    <row r="92" spans="1:9">
      <c r="A92">
        <f t="shared" si="9"/>
        <v>88</v>
      </c>
      <c r="B92">
        <f t="shared" ca="1" si="10"/>
        <v>4</v>
      </c>
      <c r="C92">
        <f t="shared" ca="1" si="11"/>
        <v>110</v>
      </c>
      <c r="D92">
        <f t="shared" ca="1" si="12"/>
        <v>114</v>
      </c>
      <c r="E92">
        <f ca="1">_xll.RiskBinomial($B$1,$B$2)</f>
        <v>96</v>
      </c>
      <c r="F92">
        <f t="shared" ca="1" si="13"/>
        <v>18</v>
      </c>
      <c r="G92">
        <f t="shared" ca="1" si="14"/>
        <v>96</v>
      </c>
      <c r="H92">
        <f t="shared" ca="1" si="15"/>
        <v>96</v>
      </c>
      <c r="I92">
        <f t="shared" ca="1" si="8"/>
        <v>0</v>
      </c>
    </row>
    <row r="93" spans="1:9">
      <c r="A93">
        <f t="shared" si="9"/>
        <v>89</v>
      </c>
      <c r="B93">
        <f t="shared" ca="1" si="10"/>
        <v>18</v>
      </c>
      <c r="C93">
        <f t="shared" ca="1" si="11"/>
        <v>96</v>
      </c>
      <c r="D93">
        <f t="shared" ca="1" si="12"/>
        <v>114</v>
      </c>
      <c r="E93">
        <f ca="1">_xll.RiskBinomial($B$1,$B$2)</f>
        <v>101</v>
      </c>
      <c r="F93">
        <f t="shared" ca="1" si="13"/>
        <v>13</v>
      </c>
      <c r="G93">
        <f t="shared" ca="1" si="14"/>
        <v>101</v>
      </c>
      <c r="H93">
        <f t="shared" ca="1" si="15"/>
        <v>101</v>
      </c>
      <c r="I93">
        <f t="shared" ca="1" si="8"/>
        <v>0</v>
      </c>
    </row>
    <row r="94" spans="1:9">
      <c r="A94">
        <f t="shared" si="9"/>
        <v>90</v>
      </c>
      <c r="B94">
        <f t="shared" ca="1" si="10"/>
        <v>13</v>
      </c>
      <c r="C94">
        <f t="shared" ca="1" si="11"/>
        <v>101</v>
      </c>
      <c r="D94">
        <f t="shared" ca="1" si="12"/>
        <v>114</v>
      </c>
      <c r="E94">
        <f ca="1">_xll.RiskBinomial($B$1,$B$2)</f>
        <v>90</v>
      </c>
      <c r="F94">
        <f t="shared" ca="1" si="13"/>
        <v>24</v>
      </c>
      <c r="G94">
        <f t="shared" ca="1" si="14"/>
        <v>90</v>
      </c>
      <c r="H94">
        <f t="shared" ca="1" si="15"/>
        <v>90</v>
      </c>
      <c r="I94">
        <f t="shared" ca="1" si="8"/>
        <v>0</v>
      </c>
    </row>
    <row r="95" spans="1:9">
      <c r="A95">
        <f t="shared" si="9"/>
        <v>91</v>
      </c>
      <c r="B95">
        <f t="shared" ca="1" si="10"/>
        <v>24</v>
      </c>
      <c r="C95">
        <f t="shared" ca="1" si="11"/>
        <v>90</v>
      </c>
      <c r="D95">
        <f t="shared" ca="1" si="12"/>
        <v>114</v>
      </c>
      <c r="E95">
        <f ca="1">_xll.RiskBinomial($B$1,$B$2)</f>
        <v>101</v>
      </c>
      <c r="F95">
        <f t="shared" ca="1" si="13"/>
        <v>13</v>
      </c>
      <c r="G95">
        <f t="shared" ca="1" si="14"/>
        <v>101</v>
      </c>
      <c r="H95">
        <f t="shared" ca="1" si="15"/>
        <v>101</v>
      </c>
      <c r="I95">
        <f t="shared" ca="1" si="8"/>
        <v>0</v>
      </c>
    </row>
    <row r="96" spans="1:9">
      <c r="A96">
        <f t="shared" si="9"/>
        <v>92</v>
      </c>
      <c r="B96">
        <f t="shared" ca="1" si="10"/>
        <v>13</v>
      </c>
      <c r="C96">
        <f t="shared" ca="1" si="11"/>
        <v>101</v>
      </c>
      <c r="D96">
        <f t="shared" ca="1" si="12"/>
        <v>114</v>
      </c>
      <c r="E96">
        <f ca="1">_xll.RiskBinomial($B$1,$B$2)</f>
        <v>97</v>
      </c>
      <c r="F96">
        <f t="shared" ca="1" si="13"/>
        <v>17</v>
      </c>
      <c r="G96">
        <f t="shared" ca="1" si="14"/>
        <v>97</v>
      </c>
      <c r="H96">
        <f t="shared" ca="1" si="15"/>
        <v>97</v>
      </c>
      <c r="I96">
        <f t="shared" ca="1" si="8"/>
        <v>0</v>
      </c>
    </row>
    <row r="97" spans="1:9">
      <c r="A97">
        <f t="shared" si="9"/>
        <v>93</v>
      </c>
      <c r="B97">
        <f t="shared" ca="1" si="10"/>
        <v>17</v>
      </c>
      <c r="C97">
        <f t="shared" ca="1" si="11"/>
        <v>97</v>
      </c>
      <c r="D97">
        <f t="shared" ca="1" si="12"/>
        <v>114</v>
      </c>
      <c r="E97">
        <f ca="1">_xll.RiskBinomial($B$1,$B$2)</f>
        <v>90</v>
      </c>
      <c r="F97">
        <f t="shared" ca="1" si="13"/>
        <v>24</v>
      </c>
      <c r="G97">
        <f t="shared" ca="1" si="14"/>
        <v>90</v>
      </c>
      <c r="H97">
        <f t="shared" ca="1" si="15"/>
        <v>90</v>
      </c>
      <c r="I97">
        <f t="shared" ca="1" si="8"/>
        <v>0</v>
      </c>
    </row>
    <row r="98" spans="1:9">
      <c r="A98">
        <f t="shared" si="9"/>
        <v>94</v>
      </c>
      <c r="B98">
        <f t="shared" ca="1" si="10"/>
        <v>24</v>
      </c>
      <c r="C98">
        <f t="shared" ca="1" si="11"/>
        <v>90</v>
      </c>
      <c r="D98">
        <f t="shared" ca="1" si="12"/>
        <v>114</v>
      </c>
      <c r="E98">
        <f ca="1">_xll.RiskBinomial($B$1,$B$2)</f>
        <v>104</v>
      </c>
      <c r="F98">
        <f t="shared" ca="1" si="13"/>
        <v>10</v>
      </c>
      <c r="G98">
        <f t="shared" ca="1" si="14"/>
        <v>104</v>
      </c>
      <c r="H98">
        <f t="shared" ca="1" si="15"/>
        <v>104</v>
      </c>
      <c r="I98">
        <f t="shared" ca="1" si="8"/>
        <v>0</v>
      </c>
    </row>
    <row r="99" spans="1:9">
      <c r="A99">
        <f t="shared" si="9"/>
        <v>95</v>
      </c>
      <c r="B99">
        <f t="shared" ca="1" si="10"/>
        <v>10</v>
      </c>
      <c r="C99">
        <f t="shared" ca="1" si="11"/>
        <v>104</v>
      </c>
      <c r="D99">
        <f t="shared" ca="1" si="12"/>
        <v>114</v>
      </c>
      <c r="E99">
        <f ca="1">_xll.RiskBinomial($B$1,$B$2)</f>
        <v>105</v>
      </c>
      <c r="F99">
        <f t="shared" ca="1" si="13"/>
        <v>9</v>
      </c>
      <c r="G99">
        <f t="shared" ca="1" si="14"/>
        <v>105</v>
      </c>
      <c r="H99">
        <f t="shared" ca="1" si="15"/>
        <v>105</v>
      </c>
      <c r="I99">
        <f t="shared" ca="1" si="8"/>
        <v>0</v>
      </c>
    </row>
    <row r="100" spans="1:9">
      <c r="A100">
        <f t="shared" si="9"/>
        <v>96</v>
      </c>
      <c r="B100">
        <f t="shared" ca="1" si="10"/>
        <v>9</v>
      </c>
      <c r="C100">
        <f t="shared" ca="1" si="11"/>
        <v>105</v>
      </c>
      <c r="D100">
        <f t="shared" ca="1" si="12"/>
        <v>114</v>
      </c>
      <c r="E100">
        <f ca="1">_xll.RiskBinomial($B$1,$B$2)</f>
        <v>99</v>
      </c>
      <c r="F100">
        <f t="shared" ca="1" si="13"/>
        <v>15</v>
      </c>
      <c r="G100">
        <f t="shared" ca="1" si="14"/>
        <v>99</v>
      </c>
      <c r="H100">
        <f t="shared" ca="1" si="15"/>
        <v>99</v>
      </c>
      <c r="I100">
        <f t="shared" ca="1" si="8"/>
        <v>0</v>
      </c>
    </row>
    <row r="101" spans="1:9">
      <c r="A101">
        <f t="shared" si="9"/>
        <v>97</v>
      </c>
      <c r="B101">
        <f t="shared" ca="1" si="10"/>
        <v>15</v>
      </c>
      <c r="C101">
        <f t="shared" ca="1" si="11"/>
        <v>99</v>
      </c>
      <c r="D101">
        <f t="shared" ca="1" si="12"/>
        <v>114</v>
      </c>
      <c r="E101">
        <f ca="1">_xll.RiskBinomial($B$1,$B$2)</f>
        <v>102</v>
      </c>
      <c r="F101">
        <f t="shared" ca="1" si="13"/>
        <v>12</v>
      </c>
      <c r="G101">
        <f t="shared" ca="1" si="14"/>
        <v>102</v>
      </c>
      <c r="H101">
        <f t="shared" ca="1" si="15"/>
        <v>102</v>
      </c>
      <c r="I101">
        <f t="shared" ca="1" si="8"/>
        <v>0</v>
      </c>
    </row>
    <row r="102" spans="1:9">
      <c r="A102">
        <f t="shared" si="9"/>
        <v>98</v>
      </c>
      <c r="B102">
        <f t="shared" ca="1" si="10"/>
        <v>12</v>
      </c>
      <c r="C102">
        <f t="shared" ca="1" si="11"/>
        <v>102</v>
      </c>
      <c r="D102">
        <f t="shared" ca="1" si="12"/>
        <v>114</v>
      </c>
      <c r="E102">
        <f ca="1">_xll.RiskBinomial($B$1,$B$2)</f>
        <v>88</v>
      </c>
      <c r="F102">
        <f t="shared" ca="1" si="13"/>
        <v>26</v>
      </c>
      <c r="G102">
        <f t="shared" ca="1" si="14"/>
        <v>88</v>
      </c>
      <c r="H102">
        <f t="shared" ca="1" si="15"/>
        <v>88</v>
      </c>
      <c r="I102">
        <f t="shared" ca="1" si="8"/>
        <v>0</v>
      </c>
    </row>
    <row r="103" spans="1:9">
      <c r="A103">
        <f t="shared" si="9"/>
        <v>99</v>
      </c>
      <c r="B103">
        <f t="shared" ca="1" si="10"/>
        <v>26</v>
      </c>
      <c r="C103">
        <f t="shared" ca="1" si="11"/>
        <v>88</v>
      </c>
      <c r="D103">
        <f t="shared" ca="1" si="12"/>
        <v>114</v>
      </c>
      <c r="E103">
        <f ca="1">_xll.RiskBinomial($B$1,$B$2)</f>
        <v>96</v>
      </c>
      <c r="F103">
        <f t="shared" ca="1" si="13"/>
        <v>18</v>
      </c>
      <c r="G103">
        <f t="shared" ca="1" si="14"/>
        <v>96</v>
      </c>
      <c r="H103">
        <f t="shared" ca="1" si="15"/>
        <v>96</v>
      </c>
      <c r="I103">
        <f t="shared" ca="1" si="8"/>
        <v>0</v>
      </c>
    </row>
    <row r="104" spans="1:9">
      <c r="A104">
        <f t="shared" si="9"/>
        <v>100</v>
      </c>
      <c r="B104">
        <f t="shared" ca="1" si="10"/>
        <v>18</v>
      </c>
      <c r="C104">
        <f t="shared" ca="1" si="11"/>
        <v>96</v>
      </c>
      <c r="D104">
        <f t="shared" ca="1" si="12"/>
        <v>114</v>
      </c>
      <c r="E104">
        <f ca="1">_xll.RiskBinomial($B$1,$B$2)</f>
        <v>96</v>
      </c>
      <c r="F104">
        <f t="shared" ca="1" si="13"/>
        <v>18</v>
      </c>
      <c r="G104">
        <f t="shared" ca="1" si="14"/>
        <v>96</v>
      </c>
      <c r="H104">
        <f t="shared" ca="1" si="15"/>
        <v>96</v>
      </c>
      <c r="I104">
        <f t="shared" ca="1" si="8"/>
        <v>0</v>
      </c>
    </row>
    <row r="105" spans="1:9">
      <c r="A105">
        <f t="shared" si="9"/>
        <v>101</v>
      </c>
      <c r="B105">
        <f t="shared" ca="1" si="10"/>
        <v>18</v>
      </c>
      <c r="C105">
        <f t="shared" ca="1" si="11"/>
        <v>96</v>
      </c>
      <c r="D105">
        <f t="shared" ca="1" si="12"/>
        <v>114</v>
      </c>
      <c r="E105">
        <f ca="1">_xll.RiskBinomial($B$1,$B$2)</f>
        <v>113</v>
      </c>
      <c r="F105">
        <f t="shared" ca="1" si="13"/>
        <v>1</v>
      </c>
      <c r="G105">
        <f t="shared" ca="1" si="14"/>
        <v>113</v>
      </c>
      <c r="H105">
        <f t="shared" ca="1" si="15"/>
        <v>110</v>
      </c>
      <c r="I105">
        <f t="shared" ca="1" si="8"/>
        <v>0</v>
      </c>
    </row>
    <row r="106" spans="1:9">
      <c r="A106">
        <f t="shared" si="9"/>
        <v>102</v>
      </c>
      <c r="B106">
        <f t="shared" ca="1" si="10"/>
        <v>1</v>
      </c>
      <c r="C106">
        <f t="shared" ca="1" si="11"/>
        <v>110</v>
      </c>
      <c r="D106">
        <f t="shared" ca="1" si="12"/>
        <v>111</v>
      </c>
      <c r="E106">
        <f ca="1">_xll.RiskBinomial($B$1,$B$2)</f>
        <v>86</v>
      </c>
      <c r="F106">
        <f t="shared" ca="1" si="13"/>
        <v>25</v>
      </c>
      <c r="G106">
        <f t="shared" ca="1" si="14"/>
        <v>89</v>
      </c>
      <c r="H106">
        <f t="shared" ca="1" si="15"/>
        <v>89</v>
      </c>
      <c r="I106">
        <f t="shared" ca="1" si="8"/>
        <v>0</v>
      </c>
    </row>
    <row r="107" spans="1:9">
      <c r="A107">
        <f t="shared" si="9"/>
        <v>103</v>
      </c>
      <c r="B107">
        <f t="shared" ca="1" si="10"/>
        <v>25</v>
      </c>
      <c r="C107">
        <f t="shared" ca="1" si="11"/>
        <v>89</v>
      </c>
      <c r="D107">
        <f t="shared" ca="1" si="12"/>
        <v>114</v>
      </c>
      <c r="E107">
        <f ca="1">_xll.RiskBinomial($B$1,$B$2)</f>
        <v>110</v>
      </c>
      <c r="F107">
        <f t="shared" ca="1" si="13"/>
        <v>4</v>
      </c>
      <c r="G107">
        <f t="shared" ca="1" si="14"/>
        <v>110</v>
      </c>
      <c r="H107">
        <f t="shared" ca="1" si="15"/>
        <v>110</v>
      </c>
      <c r="I107">
        <f t="shared" ca="1" si="8"/>
        <v>0</v>
      </c>
    </row>
    <row r="108" spans="1:9">
      <c r="A108">
        <f t="shared" si="9"/>
        <v>104</v>
      </c>
      <c r="B108">
        <f t="shared" ca="1" si="10"/>
        <v>4</v>
      </c>
      <c r="C108">
        <f t="shared" ca="1" si="11"/>
        <v>110</v>
      </c>
      <c r="D108">
        <f t="shared" ca="1" si="12"/>
        <v>114</v>
      </c>
      <c r="E108">
        <f ca="1">_xll.RiskBinomial($B$1,$B$2)</f>
        <v>101</v>
      </c>
      <c r="F108">
        <f t="shared" ca="1" si="13"/>
        <v>13</v>
      </c>
      <c r="G108">
        <f t="shared" ca="1" si="14"/>
        <v>101</v>
      </c>
      <c r="H108">
        <f t="shared" ca="1" si="15"/>
        <v>101</v>
      </c>
      <c r="I108">
        <f t="shared" ca="1" si="8"/>
        <v>0</v>
      </c>
    </row>
    <row r="109" spans="1:9">
      <c r="A109">
        <f t="shared" si="9"/>
        <v>105</v>
      </c>
      <c r="B109">
        <f t="shared" ca="1" si="10"/>
        <v>13</v>
      </c>
      <c r="C109">
        <f t="shared" ca="1" si="11"/>
        <v>101</v>
      </c>
      <c r="D109">
        <f t="shared" ca="1" si="12"/>
        <v>114</v>
      </c>
      <c r="E109">
        <f ca="1">_xll.RiskBinomial($B$1,$B$2)</f>
        <v>95</v>
      </c>
      <c r="F109">
        <f t="shared" ca="1" si="13"/>
        <v>19</v>
      </c>
      <c r="G109">
        <f t="shared" ca="1" si="14"/>
        <v>95</v>
      </c>
      <c r="H109">
        <f t="shared" ca="1" si="15"/>
        <v>95</v>
      </c>
      <c r="I109">
        <f t="shared" ca="1" si="8"/>
        <v>0</v>
      </c>
    </row>
    <row r="110" spans="1:9">
      <c r="A110">
        <f t="shared" si="9"/>
        <v>106</v>
      </c>
      <c r="B110">
        <f t="shared" ca="1" si="10"/>
        <v>19</v>
      </c>
      <c r="C110">
        <f t="shared" ca="1" si="11"/>
        <v>95</v>
      </c>
      <c r="D110">
        <f t="shared" ca="1" si="12"/>
        <v>114</v>
      </c>
      <c r="E110">
        <f ca="1">_xll.RiskBinomial($B$1,$B$2)</f>
        <v>91</v>
      </c>
      <c r="F110">
        <f t="shared" ca="1" si="13"/>
        <v>23</v>
      </c>
      <c r="G110">
        <f t="shared" ca="1" si="14"/>
        <v>91</v>
      </c>
      <c r="H110">
        <f t="shared" ca="1" si="15"/>
        <v>91</v>
      </c>
      <c r="I110">
        <f t="shared" ca="1" si="8"/>
        <v>0</v>
      </c>
    </row>
    <row r="111" spans="1:9">
      <c r="A111">
        <f t="shared" si="9"/>
        <v>107</v>
      </c>
      <c r="B111">
        <f t="shared" ca="1" si="10"/>
        <v>23</v>
      </c>
      <c r="C111">
        <f t="shared" ca="1" si="11"/>
        <v>91</v>
      </c>
      <c r="D111">
        <f t="shared" ca="1" si="12"/>
        <v>114</v>
      </c>
      <c r="E111">
        <f ca="1">_xll.RiskBinomial($B$1,$B$2)</f>
        <v>103</v>
      </c>
      <c r="F111">
        <f t="shared" ca="1" si="13"/>
        <v>11</v>
      </c>
      <c r="G111">
        <f t="shared" ca="1" si="14"/>
        <v>103</v>
      </c>
      <c r="H111">
        <f t="shared" ca="1" si="15"/>
        <v>103</v>
      </c>
      <c r="I111">
        <f t="shared" ca="1" si="8"/>
        <v>0</v>
      </c>
    </row>
    <row r="112" spans="1:9">
      <c r="A112">
        <f t="shared" si="9"/>
        <v>108</v>
      </c>
      <c r="B112">
        <f t="shared" ca="1" si="10"/>
        <v>11</v>
      </c>
      <c r="C112">
        <f t="shared" ca="1" si="11"/>
        <v>103</v>
      </c>
      <c r="D112">
        <f t="shared" ca="1" si="12"/>
        <v>114</v>
      </c>
      <c r="E112">
        <f ca="1">_xll.RiskBinomial($B$1,$B$2)</f>
        <v>91</v>
      </c>
      <c r="F112">
        <f t="shared" ca="1" si="13"/>
        <v>23</v>
      </c>
      <c r="G112">
        <f t="shared" ca="1" si="14"/>
        <v>91</v>
      </c>
      <c r="H112">
        <f t="shared" ca="1" si="15"/>
        <v>91</v>
      </c>
      <c r="I112">
        <f t="shared" ca="1" si="8"/>
        <v>0</v>
      </c>
    </row>
    <row r="113" spans="1:9">
      <c r="A113">
        <f t="shared" si="9"/>
        <v>109</v>
      </c>
      <c r="B113">
        <f t="shared" ca="1" si="10"/>
        <v>23</v>
      </c>
      <c r="C113">
        <f t="shared" ca="1" si="11"/>
        <v>91</v>
      </c>
      <c r="D113">
        <f t="shared" ca="1" si="12"/>
        <v>114</v>
      </c>
      <c r="E113">
        <f ca="1">_xll.RiskBinomial($B$1,$B$2)</f>
        <v>97</v>
      </c>
      <c r="F113">
        <f t="shared" ca="1" si="13"/>
        <v>17</v>
      </c>
      <c r="G113">
        <f t="shared" ca="1" si="14"/>
        <v>97</v>
      </c>
      <c r="H113">
        <f t="shared" ca="1" si="15"/>
        <v>97</v>
      </c>
      <c r="I113">
        <f t="shared" ca="1" si="8"/>
        <v>0</v>
      </c>
    </row>
    <row r="114" spans="1:9">
      <c r="A114">
        <f t="shared" si="9"/>
        <v>110</v>
      </c>
      <c r="B114">
        <f t="shared" ca="1" si="10"/>
        <v>17</v>
      </c>
      <c r="C114">
        <f t="shared" ca="1" si="11"/>
        <v>97</v>
      </c>
      <c r="D114">
        <f t="shared" ca="1" si="12"/>
        <v>114</v>
      </c>
      <c r="E114">
        <f ca="1">_xll.RiskBinomial($B$1,$B$2)</f>
        <v>100</v>
      </c>
      <c r="F114">
        <f t="shared" ca="1" si="13"/>
        <v>14</v>
      </c>
      <c r="G114">
        <f t="shared" ca="1" si="14"/>
        <v>100</v>
      </c>
      <c r="H114">
        <f t="shared" ca="1" si="15"/>
        <v>100</v>
      </c>
      <c r="I114">
        <f t="shared" ca="1" si="8"/>
        <v>0</v>
      </c>
    </row>
    <row r="115" spans="1:9">
      <c r="A115">
        <f t="shared" si="9"/>
        <v>111</v>
      </c>
      <c r="B115">
        <f t="shared" ca="1" si="10"/>
        <v>14</v>
      </c>
      <c r="C115">
        <f t="shared" ca="1" si="11"/>
        <v>100</v>
      </c>
      <c r="D115">
        <f t="shared" ca="1" si="12"/>
        <v>114</v>
      </c>
      <c r="E115">
        <f ca="1">_xll.RiskBinomial($B$1,$B$2)</f>
        <v>94</v>
      </c>
      <c r="F115">
        <f t="shared" ca="1" si="13"/>
        <v>20</v>
      </c>
      <c r="G115">
        <f t="shared" ca="1" si="14"/>
        <v>94</v>
      </c>
      <c r="H115">
        <f t="shared" ca="1" si="15"/>
        <v>94</v>
      </c>
      <c r="I115">
        <f t="shared" ca="1" si="8"/>
        <v>0</v>
      </c>
    </row>
    <row r="116" spans="1:9">
      <c r="A116">
        <f t="shared" si="9"/>
        <v>112</v>
      </c>
      <c r="B116">
        <f t="shared" ca="1" si="10"/>
        <v>20</v>
      </c>
      <c r="C116">
        <f t="shared" ca="1" si="11"/>
        <v>94</v>
      </c>
      <c r="D116">
        <f t="shared" ca="1" si="12"/>
        <v>114</v>
      </c>
      <c r="E116">
        <f ca="1">_xll.RiskBinomial($B$1,$B$2)</f>
        <v>105</v>
      </c>
      <c r="F116">
        <f t="shared" ca="1" si="13"/>
        <v>9</v>
      </c>
      <c r="G116">
        <f t="shared" ca="1" si="14"/>
        <v>105</v>
      </c>
      <c r="H116">
        <f t="shared" ca="1" si="15"/>
        <v>105</v>
      </c>
      <c r="I116">
        <f t="shared" ca="1" si="8"/>
        <v>0</v>
      </c>
    </row>
    <row r="117" spans="1:9">
      <c r="A117">
        <f t="shared" si="9"/>
        <v>113</v>
      </c>
      <c r="B117">
        <f t="shared" ca="1" si="10"/>
        <v>9</v>
      </c>
      <c r="C117">
        <f t="shared" ca="1" si="11"/>
        <v>105</v>
      </c>
      <c r="D117">
        <f t="shared" ca="1" si="12"/>
        <v>114</v>
      </c>
      <c r="E117">
        <f ca="1">_xll.RiskBinomial($B$1,$B$2)</f>
        <v>91</v>
      </c>
      <c r="F117">
        <f t="shared" ca="1" si="13"/>
        <v>23</v>
      </c>
      <c r="G117">
        <f t="shared" ca="1" si="14"/>
        <v>91</v>
      </c>
      <c r="H117">
        <f t="shared" ca="1" si="15"/>
        <v>91</v>
      </c>
      <c r="I117">
        <f t="shared" ca="1" si="8"/>
        <v>0</v>
      </c>
    </row>
    <row r="118" spans="1:9">
      <c r="A118">
        <f t="shared" si="9"/>
        <v>114</v>
      </c>
      <c r="B118">
        <f t="shared" ca="1" si="10"/>
        <v>23</v>
      </c>
      <c r="C118">
        <f t="shared" ca="1" si="11"/>
        <v>91</v>
      </c>
      <c r="D118">
        <f t="shared" ca="1" si="12"/>
        <v>114</v>
      </c>
      <c r="E118">
        <f ca="1">_xll.RiskBinomial($B$1,$B$2)</f>
        <v>105</v>
      </c>
      <c r="F118">
        <f t="shared" ca="1" si="13"/>
        <v>9</v>
      </c>
      <c r="G118">
        <f t="shared" ca="1" si="14"/>
        <v>105</v>
      </c>
      <c r="H118">
        <f t="shared" ca="1" si="15"/>
        <v>105</v>
      </c>
      <c r="I118">
        <f t="shared" ca="1" si="8"/>
        <v>0</v>
      </c>
    </row>
    <row r="119" spans="1:9">
      <c r="A119">
        <f t="shared" si="9"/>
        <v>115</v>
      </c>
      <c r="B119">
        <f t="shared" ca="1" si="10"/>
        <v>9</v>
      </c>
      <c r="C119">
        <f t="shared" ca="1" si="11"/>
        <v>105</v>
      </c>
      <c r="D119">
        <f t="shared" ca="1" si="12"/>
        <v>114</v>
      </c>
      <c r="E119">
        <f ca="1">_xll.RiskBinomial($B$1,$B$2)</f>
        <v>87</v>
      </c>
      <c r="F119">
        <f t="shared" ca="1" si="13"/>
        <v>27</v>
      </c>
      <c r="G119">
        <f t="shared" ca="1" si="14"/>
        <v>87</v>
      </c>
      <c r="H119">
        <f t="shared" ca="1" si="15"/>
        <v>87</v>
      </c>
      <c r="I119">
        <f t="shared" ca="1" si="8"/>
        <v>0</v>
      </c>
    </row>
    <row r="120" spans="1:9">
      <c r="A120">
        <f t="shared" si="9"/>
        <v>116</v>
      </c>
      <c r="B120">
        <f t="shared" ca="1" si="10"/>
        <v>27</v>
      </c>
      <c r="C120">
        <f t="shared" ca="1" si="11"/>
        <v>87</v>
      </c>
      <c r="D120">
        <f t="shared" ca="1" si="12"/>
        <v>114</v>
      </c>
      <c r="E120">
        <f ca="1">_xll.RiskBinomial($B$1,$B$2)</f>
        <v>95</v>
      </c>
      <c r="F120">
        <f t="shared" ca="1" si="13"/>
        <v>19</v>
      </c>
      <c r="G120">
        <f t="shared" ca="1" si="14"/>
        <v>95</v>
      </c>
      <c r="H120">
        <f t="shared" ca="1" si="15"/>
        <v>95</v>
      </c>
      <c r="I120">
        <f t="shared" ca="1" si="8"/>
        <v>0</v>
      </c>
    </row>
    <row r="121" spans="1:9">
      <c r="A121">
        <f t="shared" si="9"/>
        <v>117</v>
      </c>
      <c r="B121">
        <f t="shared" ca="1" si="10"/>
        <v>19</v>
      </c>
      <c r="C121">
        <f t="shared" ca="1" si="11"/>
        <v>95</v>
      </c>
      <c r="D121">
        <f t="shared" ca="1" si="12"/>
        <v>114</v>
      </c>
      <c r="E121">
        <f ca="1">_xll.RiskBinomial($B$1,$B$2)</f>
        <v>97</v>
      </c>
      <c r="F121">
        <f t="shared" ca="1" si="13"/>
        <v>17</v>
      </c>
      <c r="G121">
        <f t="shared" ca="1" si="14"/>
        <v>97</v>
      </c>
      <c r="H121">
        <f t="shared" ca="1" si="15"/>
        <v>97</v>
      </c>
      <c r="I121">
        <f t="shared" ca="1" si="8"/>
        <v>0</v>
      </c>
    </row>
    <row r="122" spans="1:9">
      <c r="A122">
        <f t="shared" si="9"/>
        <v>118</v>
      </c>
      <c r="B122">
        <f t="shared" ca="1" si="10"/>
        <v>17</v>
      </c>
      <c r="C122">
        <f t="shared" ca="1" si="11"/>
        <v>97</v>
      </c>
      <c r="D122">
        <f t="shared" ca="1" si="12"/>
        <v>114</v>
      </c>
      <c r="E122">
        <f ca="1">_xll.RiskBinomial($B$1,$B$2)</f>
        <v>99</v>
      </c>
      <c r="F122">
        <f t="shared" ca="1" si="13"/>
        <v>15</v>
      </c>
      <c r="G122">
        <f t="shared" ca="1" si="14"/>
        <v>99</v>
      </c>
      <c r="H122">
        <f t="shared" ca="1" si="15"/>
        <v>99</v>
      </c>
      <c r="I122">
        <f t="shared" ca="1" si="8"/>
        <v>0</v>
      </c>
    </row>
    <row r="123" spans="1:9">
      <c r="A123">
        <f t="shared" si="9"/>
        <v>119</v>
      </c>
      <c r="B123">
        <f t="shared" ca="1" si="10"/>
        <v>15</v>
      </c>
      <c r="C123">
        <f t="shared" ca="1" si="11"/>
        <v>99</v>
      </c>
      <c r="D123">
        <f t="shared" ca="1" si="12"/>
        <v>114</v>
      </c>
      <c r="E123">
        <f ca="1">_xll.RiskBinomial($B$1,$B$2)</f>
        <v>102</v>
      </c>
      <c r="F123">
        <f t="shared" ca="1" si="13"/>
        <v>12</v>
      </c>
      <c r="G123">
        <f t="shared" ca="1" si="14"/>
        <v>102</v>
      </c>
      <c r="H123">
        <f t="shared" ca="1" si="15"/>
        <v>102</v>
      </c>
      <c r="I123">
        <f t="shared" ca="1" si="8"/>
        <v>0</v>
      </c>
    </row>
    <row r="124" spans="1:9">
      <c r="A124">
        <f t="shared" si="9"/>
        <v>120</v>
      </c>
      <c r="B124">
        <f t="shared" ca="1" si="10"/>
        <v>12</v>
      </c>
      <c r="C124">
        <f t="shared" ca="1" si="11"/>
        <v>102</v>
      </c>
      <c r="D124">
        <f t="shared" ca="1" si="12"/>
        <v>114</v>
      </c>
      <c r="E124">
        <f ca="1">_xll.RiskBinomial($B$1,$B$2)</f>
        <v>101</v>
      </c>
      <c r="F124">
        <f t="shared" ca="1" si="13"/>
        <v>13</v>
      </c>
      <c r="G124">
        <f t="shared" ca="1" si="14"/>
        <v>101</v>
      </c>
      <c r="H124">
        <f t="shared" ca="1" si="15"/>
        <v>101</v>
      </c>
      <c r="I124">
        <f t="shared" ca="1" si="8"/>
        <v>0</v>
      </c>
    </row>
    <row r="125" spans="1:9">
      <c r="A125">
        <f t="shared" si="9"/>
        <v>121</v>
      </c>
      <c r="B125">
        <f t="shared" ca="1" si="10"/>
        <v>13</v>
      </c>
      <c r="C125">
        <f t="shared" ca="1" si="11"/>
        <v>101</v>
      </c>
      <c r="D125">
        <f t="shared" ca="1" si="12"/>
        <v>114</v>
      </c>
      <c r="E125">
        <f ca="1">_xll.RiskBinomial($B$1,$B$2)</f>
        <v>84</v>
      </c>
      <c r="F125">
        <f t="shared" ca="1" si="13"/>
        <v>30</v>
      </c>
      <c r="G125">
        <f t="shared" ca="1" si="14"/>
        <v>84</v>
      </c>
      <c r="H125">
        <f t="shared" ca="1" si="15"/>
        <v>84</v>
      </c>
      <c r="I125">
        <f t="shared" ca="1" si="8"/>
        <v>0</v>
      </c>
    </row>
    <row r="126" spans="1:9">
      <c r="A126">
        <f t="shared" si="9"/>
        <v>122</v>
      </c>
      <c r="B126">
        <f t="shared" ca="1" si="10"/>
        <v>30</v>
      </c>
      <c r="C126">
        <f t="shared" ca="1" si="11"/>
        <v>84</v>
      </c>
      <c r="D126">
        <f t="shared" ca="1" si="12"/>
        <v>114</v>
      </c>
      <c r="E126">
        <f ca="1">_xll.RiskBinomial($B$1,$B$2)</f>
        <v>91</v>
      </c>
      <c r="F126">
        <f t="shared" ca="1" si="13"/>
        <v>23</v>
      </c>
      <c r="G126">
        <f t="shared" ca="1" si="14"/>
        <v>91</v>
      </c>
      <c r="H126">
        <f t="shared" ca="1" si="15"/>
        <v>91</v>
      </c>
      <c r="I126">
        <f t="shared" ca="1" si="8"/>
        <v>0</v>
      </c>
    </row>
    <row r="127" spans="1:9">
      <c r="A127">
        <f t="shared" si="9"/>
        <v>123</v>
      </c>
      <c r="B127">
        <f t="shared" ca="1" si="10"/>
        <v>23</v>
      </c>
      <c r="C127">
        <f t="shared" ca="1" si="11"/>
        <v>91</v>
      </c>
      <c r="D127">
        <f t="shared" ca="1" si="12"/>
        <v>114</v>
      </c>
      <c r="E127">
        <f ca="1">_xll.RiskBinomial($B$1,$B$2)</f>
        <v>109</v>
      </c>
      <c r="F127">
        <f t="shared" ca="1" si="13"/>
        <v>5</v>
      </c>
      <c r="G127">
        <f t="shared" ca="1" si="14"/>
        <v>109</v>
      </c>
      <c r="H127">
        <f t="shared" ca="1" si="15"/>
        <v>109</v>
      </c>
      <c r="I127">
        <f t="shared" ca="1" si="8"/>
        <v>0</v>
      </c>
    </row>
    <row r="128" spans="1:9">
      <c r="A128">
        <f t="shared" si="9"/>
        <v>124</v>
      </c>
      <c r="B128">
        <f t="shared" ca="1" si="10"/>
        <v>5</v>
      </c>
      <c r="C128">
        <f t="shared" ca="1" si="11"/>
        <v>109</v>
      </c>
      <c r="D128">
        <f t="shared" ca="1" si="12"/>
        <v>114</v>
      </c>
      <c r="E128">
        <f ca="1">_xll.RiskBinomial($B$1,$B$2)</f>
        <v>104</v>
      </c>
      <c r="F128">
        <f t="shared" ca="1" si="13"/>
        <v>10</v>
      </c>
      <c r="G128">
        <f t="shared" ca="1" si="14"/>
        <v>104</v>
      </c>
      <c r="H128">
        <f t="shared" ca="1" si="15"/>
        <v>104</v>
      </c>
      <c r="I128">
        <f t="shared" ca="1" si="8"/>
        <v>0</v>
      </c>
    </row>
    <row r="129" spans="1:9">
      <c r="A129">
        <f t="shared" si="9"/>
        <v>125</v>
      </c>
      <c r="B129">
        <f t="shared" ca="1" si="10"/>
        <v>10</v>
      </c>
      <c r="C129">
        <f t="shared" ca="1" si="11"/>
        <v>104</v>
      </c>
      <c r="D129">
        <f t="shared" ca="1" si="12"/>
        <v>114</v>
      </c>
      <c r="E129">
        <f ca="1">_xll.RiskBinomial($B$1,$B$2)</f>
        <v>120</v>
      </c>
      <c r="F129">
        <f t="shared" ca="1" si="13"/>
        <v>-6</v>
      </c>
      <c r="G129">
        <f t="shared" ca="1" si="14"/>
        <v>120</v>
      </c>
      <c r="H129">
        <f t="shared" ca="1" si="15"/>
        <v>110</v>
      </c>
      <c r="I129">
        <f t="shared" ca="1" si="8"/>
        <v>1</v>
      </c>
    </row>
    <row r="130" spans="1:9">
      <c r="A130">
        <f t="shared" si="9"/>
        <v>126</v>
      </c>
      <c r="B130">
        <f t="shared" ca="1" si="10"/>
        <v>-6</v>
      </c>
      <c r="C130">
        <f t="shared" ca="1" si="11"/>
        <v>110</v>
      </c>
      <c r="D130">
        <f t="shared" ca="1" si="12"/>
        <v>104</v>
      </c>
      <c r="E130">
        <f ca="1">_xll.RiskBinomial($B$1,$B$2)</f>
        <v>106</v>
      </c>
      <c r="F130">
        <f t="shared" ca="1" si="13"/>
        <v>-2</v>
      </c>
      <c r="G130">
        <f t="shared" ca="1" si="14"/>
        <v>116</v>
      </c>
      <c r="H130">
        <f t="shared" ca="1" si="15"/>
        <v>110</v>
      </c>
      <c r="I130">
        <f t="shared" ca="1" si="8"/>
        <v>1</v>
      </c>
    </row>
    <row r="131" spans="1:9">
      <c r="A131">
        <f t="shared" si="9"/>
        <v>127</v>
      </c>
      <c r="B131">
        <f t="shared" ca="1" si="10"/>
        <v>-2</v>
      </c>
      <c r="C131">
        <f t="shared" ca="1" si="11"/>
        <v>110</v>
      </c>
      <c r="D131">
        <f t="shared" ca="1" si="12"/>
        <v>108</v>
      </c>
      <c r="E131">
        <f ca="1">_xll.RiskBinomial($B$1,$B$2)</f>
        <v>108</v>
      </c>
      <c r="F131">
        <f t="shared" ca="1" si="13"/>
        <v>0</v>
      </c>
      <c r="G131">
        <f t="shared" ca="1" si="14"/>
        <v>114</v>
      </c>
      <c r="H131">
        <f t="shared" ca="1" si="15"/>
        <v>110</v>
      </c>
      <c r="I131">
        <f t="shared" ca="1" si="8"/>
        <v>0</v>
      </c>
    </row>
    <row r="132" spans="1:9">
      <c r="A132">
        <f t="shared" si="9"/>
        <v>128</v>
      </c>
      <c r="B132">
        <f t="shared" ca="1" si="10"/>
        <v>0</v>
      </c>
      <c r="C132">
        <f t="shared" ca="1" si="11"/>
        <v>110</v>
      </c>
      <c r="D132">
        <f t="shared" ca="1" si="12"/>
        <v>110</v>
      </c>
      <c r="E132">
        <f ca="1">_xll.RiskBinomial($B$1,$B$2)</f>
        <v>98</v>
      </c>
      <c r="F132">
        <f t="shared" ca="1" si="13"/>
        <v>12</v>
      </c>
      <c r="G132">
        <f t="shared" ca="1" si="14"/>
        <v>102</v>
      </c>
      <c r="H132">
        <f t="shared" ca="1" si="15"/>
        <v>102</v>
      </c>
      <c r="I132">
        <f t="shared" ca="1" si="8"/>
        <v>0</v>
      </c>
    </row>
    <row r="133" spans="1:9">
      <c r="A133">
        <f t="shared" si="9"/>
        <v>129</v>
      </c>
      <c r="B133">
        <f t="shared" ca="1" si="10"/>
        <v>12</v>
      </c>
      <c r="C133">
        <f t="shared" ca="1" si="11"/>
        <v>102</v>
      </c>
      <c r="D133">
        <f t="shared" ca="1" si="12"/>
        <v>114</v>
      </c>
      <c r="E133">
        <f ca="1">_xll.RiskBinomial($B$1,$B$2)</f>
        <v>100</v>
      </c>
      <c r="F133">
        <f t="shared" ca="1" si="13"/>
        <v>14</v>
      </c>
      <c r="G133">
        <f t="shared" ca="1" si="14"/>
        <v>100</v>
      </c>
      <c r="H133">
        <f t="shared" ca="1" si="15"/>
        <v>100</v>
      </c>
      <c r="I133">
        <f t="shared" ca="1" si="8"/>
        <v>0</v>
      </c>
    </row>
    <row r="134" spans="1:9">
      <c r="A134">
        <f t="shared" si="9"/>
        <v>130</v>
      </c>
      <c r="B134">
        <f t="shared" ca="1" si="10"/>
        <v>14</v>
      </c>
      <c r="C134">
        <f t="shared" ca="1" si="11"/>
        <v>100</v>
      </c>
      <c r="D134">
        <f t="shared" ca="1" si="12"/>
        <v>114</v>
      </c>
      <c r="E134">
        <f ca="1">_xll.RiskBinomial($B$1,$B$2)</f>
        <v>99</v>
      </c>
      <c r="F134">
        <f t="shared" ca="1" si="13"/>
        <v>15</v>
      </c>
      <c r="G134">
        <f t="shared" ca="1" si="14"/>
        <v>99</v>
      </c>
      <c r="H134">
        <f t="shared" ca="1" si="15"/>
        <v>99</v>
      </c>
      <c r="I134">
        <f t="shared" ref="I134:I197" ca="1" si="16">IF(F134&lt;0,1,0)</f>
        <v>0</v>
      </c>
    </row>
    <row r="135" spans="1:9">
      <c r="A135">
        <f t="shared" ref="A135:A198" si="17">A134+1</f>
        <v>131</v>
      </c>
      <c r="B135">
        <f t="shared" ref="B135:B198" ca="1" si="18">F134</f>
        <v>15</v>
      </c>
      <c r="C135">
        <f t="shared" ref="C135:C198" ca="1" si="19">H134</f>
        <v>99</v>
      </c>
      <c r="D135">
        <f t="shared" ref="D135:D198" ca="1" si="20">B135+C135</f>
        <v>114</v>
      </c>
      <c r="E135">
        <f ca="1">_xll.RiskBinomial($B$1,$B$2)</f>
        <v>110</v>
      </c>
      <c r="F135">
        <f t="shared" ref="F135:F198" ca="1" si="21">D135-E135</f>
        <v>4</v>
      </c>
      <c r="G135">
        <f t="shared" ref="G135:G198" ca="1" si="22">$H$1-F135</f>
        <v>110</v>
      </c>
      <c r="H135">
        <f t="shared" ref="H135:H198" ca="1" si="23">MIN(G135,$H$2)</f>
        <v>110</v>
      </c>
      <c r="I135">
        <f t="shared" ca="1" si="16"/>
        <v>0</v>
      </c>
    </row>
    <row r="136" spans="1:9">
      <c r="A136">
        <f t="shared" si="17"/>
        <v>132</v>
      </c>
      <c r="B136">
        <f t="shared" ca="1" si="18"/>
        <v>4</v>
      </c>
      <c r="C136">
        <f t="shared" ca="1" si="19"/>
        <v>110</v>
      </c>
      <c r="D136">
        <f t="shared" ca="1" si="20"/>
        <v>114</v>
      </c>
      <c r="E136">
        <f ca="1">_xll.RiskBinomial($B$1,$B$2)</f>
        <v>111</v>
      </c>
      <c r="F136">
        <f t="shared" ca="1" si="21"/>
        <v>3</v>
      </c>
      <c r="G136">
        <f t="shared" ca="1" si="22"/>
        <v>111</v>
      </c>
      <c r="H136">
        <f t="shared" ca="1" si="23"/>
        <v>110</v>
      </c>
      <c r="I136">
        <f t="shared" ca="1" si="16"/>
        <v>0</v>
      </c>
    </row>
    <row r="137" spans="1:9">
      <c r="A137">
        <f t="shared" si="17"/>
        <v>133</v>
      </c>
      <c r="B137">
        <f t="shared" ca="1" si="18"/>
        <v>3</v>
      </c>
      <c r="C137">
        <f t="shared" ca="1" si="19"/>
        <v>110</v>
      </c>
      <c r="D137">
        <f t="shared" ca="1" si="20"/>
        <v>113</v>
      </c>
      <c r="E137">
        <f ca="1">_xll.RiskBinomial($B$1,$B$2)</f>
        <v>95</v>
      </c>
      <c r="F137">
        <f t="shared" ca="1" si="21"/>
        <v>18</v>
      </c>
      <c r="G137">
        <f t="shared" ca="1" si="22"/>
        <v>96</v>
      </c>
      <c r="H137">
        <f t="shared" ca="1" si="23"/>
        <v>96</v>
      </c>
      <c r="I137">
        <f t="shared" ca="1" si="16"/>
        <v>0</v>
      </c>
    </row>
    <row r="138" spans="1:9">
      <c r="A138">
        <f t="shared" si="17"/>
        <v>134</v>
      </c>
      <c r="B138">
        <f t="shared" ca="1" si="18"/>
        <v>18</v>
      </c>
      <c r="C138">
        <f t="shared" ca="1" si="19"/>
        <v>96</v>
      </c>
      <c r="D138">
        <f t="shared" ca="1" si="20"/>
        <v>114</v>
      </c>
      <c r="E138">
        <f ca="1">_xll.RiskBinomial($B$1,$B$2)</f>
        <v>98</v>
      </c>
      <c r="F138">
        <f t="shared" ca="1" si="21"/>
        <v>16</v>
      </c>
      <c r="G138">
        <f t="shared" ca="1" si="22"/>
        <v>98</v>
      </c>
      <c r="H138">
        <f t="shared" ca="1" si="23"/>
        <v>98</v>
      </c>
      <c r="I138">
        <f t="shared" ca="1" si="16"/>
        <v>0</v>
      </c>
    </row>
    <row r="139" spans="1:9">
      <c r="A139">
        <f t="shared" si="17"/>
        <v>135</v>
      </c>
      <c r="B139">
        <f t="shared" ca="1" si="18"/>
        <v>16</v>
      </c>
      <c r="C139">
        <f t="shared" ca="1" si="19"/>
        <v>98</v>
      </c>
      <c r="D139">
        <f t="shared" ca="1" si="20"/>
        <v>114</v>
      </c>
      <c r="E139">
        <f ca="1">_xll.RiskBinomial($B$1,$B$2)</f>
        <v>102</v>
      </c>
      <c r="F139">
        <f t="shared" ca="1" si="21"/>
        <v>12</v>
      </c>
      <c r="G139">
        <f t="shared" ca="1" si="22"/>
        <v>102</v>
      </c>
      <c r="H139">
        <f t="shared" ca="1" si="23"/>
        <v>102</v>
      </c>
      <c r="I139">
        <f t="shared" ca="1" si="16"/>
        <v>0</v>
      </c>
    </row>
    <row r="140" spans="1:9">
      <c r="A140">
        <f t="shared" si="17"/>
        <v>136</v>
      </c>
      <c r="B140">
        <f t="shared" ca="1" si="18"/>
        <v>12</v>
      </c>
      <c r="C140">
        <f t="shared" ca="1" si="19"/>
        <v>102</v>
      </c>
      <c r="D140">
        <f t="shared" ca="1" si="20"/>
        <v>114</v>
      </c>
      <c r="E140">
        <f ca="1">_xll.RiskBinomial($B$1,$B$2)</f>
        <v>97</v>
      </c>
      <c r="F140">
        <f t="shared" ca="1" si="21"/>
        <v>17</v>
      </c>
      <c r="G140">
        <f t="shared" ca="1" si="22"/>
        <v>97</v>
      </c>
      <c r="H140">
        <f t="shared" ca="1" si="23"/>
        <v>97</v>
      </c>
      <c r="I140">
        <f t="shared" ca="1" si="16"/>
        <v>0</v>
      </c>
    </row>
    <row r="141" spans="1:9">
      <c r="A141">
        <f t="shared" si="17"/>
        <v>137</v>
      </c>
      <c r="B141">
        <f t="shared" ca="1" si="18"/>
        <v>17</v>
      </c>
      <c r="C141">
        <f t="shared" ca="1" si="19"/>
        <v>97</v>
      </c>
      <c r="D141">
        <f t="shared" ca="1" si="20"/>
        <v>114</v>
      </c>
      <c r="E141">
        <f ca="1">_xll.RiskBinomial($B$1,$B$2)</f>
        <v>105</v>
      </c>
      <c r="F141">
        <f t="shared" ca="1" si="21"/>
        <v>9</v>
      </c>
      <c r="G141">
        <f t="shared" ca="1" si="22"/>
        <v>105</v>
      </c>
      <c r="H141">
        <f t="shared" ca="1" si="23"/>
        <v>105</v>
      </c>
      <c r="I141">
        <f t="shared" ca="1" si="16"/>
        <v>0</v>
      </c>
    </row>
    <row r="142" spans="1:9">
      <c r="A142">
        <f t="shared" si="17"/>
        <v>138</v>
      </c>
      <c r="B142">
        <f t="shared" ca="1" si="18"/>
        <v>9</v>
      </c>
      <c r="C142">
        <f t="shared" ca="1" si="19"/>
        <v>105</v>
      </c>
      <c r="D142">
        <f t="shared" ca="1" si="20"/>
        <v>114</v>
      </c>
      <c r="E142">
        <f ca="1">_xll.RiskBinomial($B$1,$B$2)</f>
        <v>108</v>
      </c>
      <c r="F142">
        <f t="shared" ca="1" si="21"/>
        <v>6</v>
      </c>
      <c r="G142">
        <f t="shared" ca="1" si="22"/>
        <v>108</v>
      </c>
      <c r="H142">
        <f t="shared" ca="1" si="23"/>
        <v>108</v>
      </c>
      <c r="I142">
        <f t="shared" ca="1" si="16"/>
        <v>0</v>
      </c>
    </row>
    <row r="143" spans="1:9">
      <c r="A143">
        <f t="shared" si="17"/>
        <v>139</v>
      </c>
      <c r="B143">
        <f t="shared" ca="1" si="18"/>
        <v>6</v>
      </c>
      <c r="C143">
        <f t="shared" ca="1" si="19"/>
        <v>108</v>
      </c>
      <c r="D143">
        <f t="shared" ca="1" si="20"/>
        <v>114</v>
      </c>
      <c r="E143">
        <f ca="1">_xll.RiskBinomial($B$1,$B$2)</f>
        <v>94</v>
      </c>
      <c r="F143">
        <f t="shared" ca="1" si="21"/>
        <v>20</v>
      </c>
      <c r="G143">
        <f t="shared" ca="1" si="22"/>
        <v>94</v>
      </c>
      <c r="H143">
        <f t="shared" ca="1" si="23"/>
        <v>94</v>
      </c>
      <c r="I143">
        <f t="shared" ca="1" si="16"/>
        <v>0</v>
      </c>
    </row>
    <row r="144" spans="1:9">
      <c r="A144">
        <f t="shared" si="17"/>
        <v>140</v>
      </c>
      <c r="B144">
        <f t="shared" ca="1" si="18"/>
        <v>20</v>
      </c>
      <c r="C144">
        <f t="shared" ca="1" si="19"/>
        <v>94</v>
      </c>
      <c r="D144">
        <f t="shared" ca="1" si="20"/>
        <v>114</v>
      </c>
      <c r="E144">
        <f ca="1">_xll.RiskBinomial($B$1,$B$2)</f>
        <v>105</v>
      </c>
      <c r="F144">
        <f t="shared" ca="1" si="21"/>
        <v>9</v>
      </c>
      <c r="G144">
        <f t="shared" ca="1" si="22"/>
        <v>105</v>
      </c>
      <c r="H144">
        <f t="shared" ca="1" si="23"/>
        <v>105</v>
      </c>
      <c r="I144">
        <f t="shared" ca="1" si="16"/>
        <v>0</v>
      </c>
    </row>
    <row r="145" spans="1:9">
      <c r="A145">
        <f t="shared" si="17"/>
        <v>141</v>
      </c>
      <c r="B145">
        <f t="shared" ca="1" si="18"/>
        <v>9</v>
      </c>
      <c r="C145">
        <f t="shared" ca="1" si="19"/>
        <v>105</v>
      </c>
      <c r="D145">
        <f t="shared" ca="1" si="20"/>
        <v>114</v>
      </c>
      <c r="E145">
        <f ca="1">_xll.RiskBinomial($B$1,$B$2)</f>
        <v>100</v>
      </c>
      <c r="F145">
        <f t="shared" ca="1" si="21"/>
        <v>14</v>
      </c>
      <c r="G145">
        <f t="shared" ca="1" si="22"/>
        <v>100</v>
      </c>
      <c r="H145">
        <f t="shared" ca="1" si="23"/>
        <v>100</v>
      </c>
      <c r="I145">
        <f t="shared" ca="1" si="16"/>
        <v>0</v>
      </c>
    </row>
    <row r="146" spans="1:9">
      <c r="A146">
        <f t="shared" si="17"/>
        <v>142</v>
      </c>
      <c r="B146">
        <f t="shared" ca="1" si="18"/>
        <v>14</v>
      </c>
      <c r="C146">
        <f t="shared" ca="1" si="19"/>
        <v>100</v>
      </c>
      <c r="D146">
        <f t="shared" ca="1" si="20"/>
        <v>114</v>
      </c>
      <c r="E146">
        <f ca="1">_xll.RiskBinomial($B$1,$B$2)</f>
        <v>89</v>
      </c>
      <c r="F146">
        <f t="shared" ca="1" si="21"/>
        <v>25</v>
      </c>
      <c r="G146">
        <f t="shared" ca="1" si="22"/>
        <v>89</v>
      </c>
      <c r="H146">
        <f t="shared" ca="1" si="23"/>
        <v>89</v>
      </c>
      <c r="I146">
        <f t="shared" ca="1" si="16"/>
        <v>0</v>
      </c>
    </row>
    <row r="147" spans="1:9">
      <c r="A147">
        <f t="shared" si="17"/>
        <v>143</v>
      </c>
      <c r="B147">
        <f t="shared" ca="1" si="18"/>
        <v>25</v>
      </c>
      <c r="C147">
        <f t="shared" ca="1" si="19"/>
        <v>89</v>
      </c>
      <c r="D147">
        <f t="shared" ca="1" si="20"/>
        <v>114</v>
      </c>
      <c r="E147">
        <f ca="1">_xll.RiskBinomial($B$1,$B$2)</f>
        <v>92</v>
      </c>
      <c r="F147">
        <f t="shared" ca="1" si="21"/>
        <v>22</v>
      </c>
      <c r="G147">
        <f t="shared" ca="1" si="22"/>
        <v>92</v>
      </c>
      <c r="H147">
        <f t="shared" ca="1" si="23"/>
        <v>92</v>
      </c>
      <c r="I147">
        <f t="shared" ca="1" si="16"/>
        <v>0</v>
      </c>
    </row>
    <row r="148" spans="1:9">
      <c r="A148">
        <f t="shared" si="17"/>
        <v>144</v>
      </c>
      <c r="B148">
        <f t="shared" ca="1" si="18"/>
        <v>22</v>
      </c>
      <c r="C148">
        <f t="shared" ca="1" si="19"/>
        <v>92</v>
      </c>
      <c r="D148">
        <f t="shared" ca="1" si="20"/>
        <v>114</v>
      </c>
      <c r="E148">
        <f ca="1">_xll.RiskBinomial($B$1,$B$2)</f>
        <v>82</v>
      </c>
      <c r="F148">
        <f t="shared" ca="1" si="21"/>
        <v>32</v>
      </c>
      <c r="G148">
        <f t="shared" ca="1" si="22"/>
        <v>82</v>
      </c>
      <c r="H148">
        <f t="shared" ca="1" si="23"/>
        <v>82</v>
      </c>
      <c r="I148">
        <f t="shared" ca="1" si="16"/>
        <v>0</v>
      </c>
    </row>
    <row r="149" spans="1:9">
      <c r="A149">
        <f t="shared" si="17"/>
        <v>145</v>
      </c>
      <c r="B149">
        <f t="shared" ca="1" si="18"/>
        <v>32</v>
      </c>
      <c r="C149">
        <f t="shared" ca="1" si="19"/>
        <v>82</v>
      </c>
      <c r="D149">
        <f t="shared" ca="1" si="20"/>
        <v>114</v>
      </c>
      <c r="E149">
        <f ca="1">_xll.RiskBinomial($B$1,$B$2)</f>
        <v>99</v>
      </c>
      <c r="F149">
        <f t="shared" ca="1" si="21"/>
        <v>15</v>
      </c>
      <c r="G149">
        <f t="shared" ca="1" si="22"/>
        <v>99</v>
      </c>
      <c r="H149">
        <f t="shared" ca="1" si="23"/>
        <v>99</v>
      </c>
      <c r="I149">
        <f t="shared" ca="1" si="16"/>
        <v>0</v>
      </c>
    </row>
    <row r="150" spans="1:9">
      <c r="A150">
        <f t="shared" si="17"/>
        <v>146</v>
      </c>
      <c r="B150">
        <f t="shared" ca="1" si="18"/>
        <v>15</v>
      </c>
      <c r="C150">
        <f t="shared" ca="1" si="19"/>
        <v>99</v>
      </c>
      <c r="D150">
        <f t="shared" ca="1" si="20"/>
        <v>114</v>
      </c>
      <c r="E150">
        <f ca="1">_xll.RiskBinomial($B$1,$B$2)</f>
        <v>105</v>
      </c>
      <c r="F150">
        <f t="shared" ca="1" si="21"/>
        <v>9</v>
      </c>
      <c r="G150">
        <f t="shared" ca="1" si="22"/>
        <v>105</v>
      </c>
      <c r="H150">
        <f t="shared" ca="1" si="23"/>
        <v>105</v>
      </c>
      <c r="I150">
        <f t="shared" ca="1" si="16"/>
        <v>0</v>
      </c>
    </row>
    <row r="151" spans="1:9">
      <c r="A151">
        <f t="shared" si="17"/>
        <v>147</v>
      </c>
      <c r="B151">
        <f t="shared" ca="1" si="18"/>
        <v>9</v>
      </c>
      <c r="C151">
        <f t="shared" ca="1" si="19"/>
        <v>105</v>
      </c>
      <c r="D151">
        <f t="shared" ca="1" si="20"/>
        <v>114</v>
      </c>
      <c r="E151">
        <f ca="1">_xll.RiskBinomial($B$1,$B$2)</f>
        <v>114</v>
      </c>
      <c r="F151">
        <f t="shared" ca="1" si="21"/>
        <v>0</v>
      </c>
      <c r="G151">
        <f t="shared" ca="1" si="22"/>
        <v>114</v>
      </c>
      <c r="H151">
        <f t="shared" ca="1" si="23"/>
        <v>110</v>
      </c>
      <c r="I151">
        <f t="shared" ca="1" si="16"/>
        <v>0</v>
      </c>
    </row>
    <row r="152" spans="1:9">
      <c r="A152">
        <f t="shared" si="17"/>
        <v>148</v>
      </c>
      <c r="B152">
        <f t="shared" ca="1" si="18"/>
        <v>0</v>
      </c>
      <c r="C152">
        <f t="shared" ca="1" si="19"/>
        <v>110</v>
      </c>
      <c r="D152">
        <f t="shared" ca="1" si="20"/>
        <v>110</v>
      </c>
      <c r="E152">
        <f ca="1">_xll.RiskBinomial($B$1,$B$2)</f>
        <v>80</v>
      </c>
      <c r="F152">
        <f t="shared" ca="1" si="21"/>
        <v>30</v>
      </c>
      <c r="G152">
        <f t="shared" ca="1" si="22"/>
        <v>84</v>
      </c>
      <c r="H152">
        <f t="shared" ca="1" si="23"/>
        <v>84</v>
      </c>
      <c r="I152">
        <f t="shared" ca="1" si="16"/>
        <v>0</v>
      </c>
    </row>
    <row r="153" spans="1:9">
      <c r="A153">
        <f t="shared" si="17"/>
        <v>149</v>
      </c>
      <c r="B153">
        <f t="shared" ca="1" si="18"/>
        <v>30</v>
      </c>
      <c r="C153">
        <f t="shared" ca="1" si="19"/>
        <v>84</v>
      </c>
      <c r="D153">
        <f t="shared" ca="1" si="20"/>
        <v>114</v>
      </c>
      <c r="E153">
        <f ca="1">_xll.RiskBinomial($B$1,$B$2)</f>
        <v>92</v>
      </c>
      <c r="F153">
        <f t="shared" ca="1" si="21"/>
        <v>22</v>
      </c>
      <c r="G153">
        <f t="shared" ca="1" si="22"/>
        <v>92</v>
      </c>
      <c r="H153">
        <f t="shared" ca="1" si="23"/>
        <v>92</v>
      </c>
      <c r="I153">
        <f t="shared" ca="1" si="16"/>
        <v>0</v>
      </c>
    </row>
    <row r="154" spans="1:9">
      <c r="A154">
        <f t="shared" si="17"/>
        <v>150</v>
      </c>
      <c r="B154">
        <f t="shared" ca="1" si="18"/>
        <v>22</v>
      </c>
      <c r="C154">
        <f t="shared" ca="1" si="19"/>
        <v>92</v>
      </c>
      <c r="D154">
        <f t="shared" ca="1" si="20"/>
        <v>114</v>
      </c>
      <c r="E154">
        <f ca="1">_xll.RiskBinomial($B$1,$B$2)</f>
        <v>122</v>
      </c>
      <c r="F154">
        <f t="shared" ca="1" si="21"/>
        <v>-8</v>
      </c>
      <c r="G154">
        <f t="shared" ca="1" si="22"/>
        <v>122</v>
      </c>
      <c r="H154">
        <f t="shared" ca="1" si="23"/>
        <v>110</v>
      </c>
      <c r="I154">
        <f t="shared" ca="1" si="16"/>
        <v>1</v>
      </c>
    </row>
    <row r="155" spans="1:9">
      <c r="A155">
        <f t="shared" si="17"/>
        <v>151</v>
      </c>
      <c r="B155">
        <f t="shared" ca="1" si="18"/>
        <v>-8</v>
      </c>
      <c r="C155">
        <f t="shared" ca="1" si="19"/>
        <v>110</v>
      </c>
      <c r="D155">
        <f t="shared" ca="1" si="20"/>
        <v>102</v>
      </c>
      <c r="E155">
        <f ca="1">_xll.RiskBinomial($B$1,$B$2)</f>
        <v>107</v>
      </c>
      <c r="F155">
        <f t="shared" ca="1" si="21"/>
        <v>-5</v>
      </c>
      <c r="G155">
        <f t="shared" ca="1" si="22"/>
        <v>119</v>
      </c>
      <c r="H155">
        <f t="shared" ca="1" si="23"/>
        <v>110</v>
      </c>
      <c r="I155">
        <f t="shared" ca="1" si="16"/>
        <v>1</v>
      </c>
    </row>
    <row r="156" spans="1:9">
      <c r="A156">
        <f t="shared" si="17"/>
        <v>152</v>
      </c>
      <c r="B156">
        <f t="shared" ca="1" si="18"/>
        <v>-5</v>
      </c>
      <c r="C156">
        <f t="shared" ca="1" si="19"/>
        <v>110</v>
      </c>
      <c r="D156">
        <f t="shared" ca="1" si="20"/>
        <v>105</v>
      </c>
      <c r="E156">
        <f ca="1">_xll.RiskBinomial($B$1,$B$2)</f>
        <v>108</v>
      </c>
      <c r="F156">
        <f t="shared" ca="1" si="21"/>
        <v>-3</v>
      </c>
      <c r="G156">
        <f t="shared" ca="1" si="22"/>
        <v>117</v>
      </c>
      <c r="H156">
        <f t="shared" ca="1" si="23"/>
        <v>110</v>
      </c>
      <c r="I156">
        <f t="shared" ca="1" si="16"/>
        <v>1</v>
      </c>
    </row>
    <row r="157" spans="1:9">
      <c r="A157">
        <f t="shared" si="17"/>
        <v>153</v>
      </c>
      <c r="B157">
        <f t="shared" ca="1" si="18"/>
        <v>-3</v>
      </c>
      <c r="C157">
        <f t="shared" ca="1" si="19"/>
        <v>110</v>
      </c>
      <c r="D157">
        <f t="shared" ca="1" si="20"/>
        <v>107</v>
      </c>
      <c r="E157">
        <f ca="1">_xll.RiskBinomial($B$1,$B$2)</f>
        <v>113</v>
      </c>
      <c r="F157">
        <f t="shared" ca="1" si="21"/>
        <v>-6</v>
      </c>
      <c r="G157">
        <f t="shared" ca="1" si="22"/>
        <v>120</v>
      </c>
      <c r="H157">
        <f t="shared" ca="1" si="23"/>
        <v>110</v>
      </c>
      <c r="I157">
        <f t="shared" ca="1" si="16"/>
        <v>1</v>
      </c>
    </row>
    <row r="158" spans="1:9">
      <c r="A158">
        <f t="shared" si="17"/>
        <v>154</v>
      </c>
      <c r="B158">
        <f t="shared" ca="1" si="18"/>
        <v>-6</v>
      </c>
      <c r="C158">
        <f t="shared" ca="1" si="19"/>
        <v>110</v>
      </c>
      <c r="D158">
        <f t="shared" ca="1" si="20"/>
        <v>104</v>
      </c>
      <c r="E158">
        <f ca="1">_xll.RiskBinomial($B$1,$B$2)</f>
        <v>89</v>
      </c>
      <c r="F158">
        <f t="shared" ca="1" si="21"/>
        <v>15</v>
      </c>
      <c r="G158">
        <f t="shared" ca="1" si="22"/>
        <v>99</v>
      </c>
      <c r="H158">
        <f t="shared" ca="1" si="23"/>
        <v>99</v>
      </c>
      <c r="I158">
        <f t="shared" ca="1" si="16"/>
        <v>0</v>
      </c>
    </row>
    <row r="159" spans="1:9">
      <c r="A159">
        <f t="shared" si="17"/>
        <v>155</v>
      </c>
      <c r="B159">
        <f t="shared" ca="1" si="18"/>
        <v>15</v>
      </c>
      <c r="C159">
        <f t="shared" ca="1" si="19"/>
        <v>99</v>
      </c>
      <c r="D159">
        <f t="shared" ca="1" si="20"/>
        <v>114</v>
      </c>
      <c r="E159">
        <f ca="1">_xll.RiskBinomial($B$1,$B$2)</f>
        <v>101</v>
      </c>
      <c r="F159">
        <f t="shared" ca="1" si="21"/>
        <v>13</v>
      </c>
      <c r="G159">
        <f t="shared" ca="1" si="22"/>
        <v>101</v>
      </c>
      <c r="H159">
        <f t="shared" ca="1" si="23"/>
        <v>101</v>
      </c>
      <c r="I159">
        <f t="shared" ca="1" si="16"/>
        <v>0</v>
      </c>
    </row>
    <row r="160" spans="1:9">
      <c r="A160">
        <f t="shared" si="17"/>
        <v>156</v>
      </c>
      <c r="B160">
        <f t="shared" ca="1" si="18"/>
        <v>13</v>
      </c>
      <c r="C160">
        <f t="shared" ca="1" si="19"/>
        <v>101</v>
      </c>
      <c r="D160">
        <f t="shared" ca="1" si="20"/>
        <v>114</v>
      </c>
      <c r="E160">
        <f ca="1">_xll.RiskBinomial($B$1,$B$2)</f>
        <v>101</v>
      </c>
      <c r="F160">
        <f t="shared" ca="1" si="21"/>
        <v>13</v>
      </c>
      <c r="G160">
        <f t="shared" ca="1" si="22"/>
        <v>101</v>
      </c>
      <c r="H160">
        <f t="shared" ca="1" si="23"/>
        <v>101</v>
      </c>
      <c r="I160">
        <f t="shared" ca="1" si="16"/>
        <v>0</v>
      </c>
    </row>
    <row r="161" spans="1:9">
      <c r="A161">
        <f t="shared" si="17"/>
        <v>157</v>
      </c>
      <c r="B161">
        <f t="shared" ca="1" si="18"/>
        <v>13</v>
      </c>
      <c r="C161">
        <f t="shared" ca="1" si="19"/>
        <v>101</v>
      </c>
      <c r="D161">
        <f t="shared" ca="1" si="20"/>
        <v>114</v>
      </c>
      <c r="E161">
        <f ca="1">_xll.RiskBinomial($B$1,$B$2)</f>
        <v>98</v>
      </c>
      <c r="F161">
        <f t="shared" ca="1" si="21"/>
        <v>16</v>
      </c>
      <c r="G161">
        <f t="shared" ca="1" si="22"/>
        <v>98</v>
      </c>
      <c r="H161">
        <f t="shared" ca="1" si="23"/>
        <v>98</v>
      </c>
      <c r="I161">
        <f t="shared" ca="1" si="16"/>
        <v>0</v>
      </c>
    </row>
    <row r="162" spans="1:9">
      <c r="A162">
        <f t="shared" si="17"/>
        <v>158</v>
      </c>
      <c r="B162">
        <f t="shared" ca="1" si="18"/>
        <v>16</v>
      </c>
      <c r="C162">
        <f t="shared" ca="1" si="19"/>
        <v>98</v>
      </c>
      <c r="D162">
        <f t="shared" ca="1" si="20"/>
        <v>114</v>
      </c>
      <c r="E162">
        <f ca="1">_xll.RiskBinomial($B$1,$B$2)</f>
        <v>94</v>
      </c>
      <c r="F162">
        <f t="shared" ca="1" si="21"/>
        <v>20</v>
      </c>
      <c r="G162">
        <f t="shared" ca="1" si="22"/>
        <v>94</v>
      </c>
      <c r="H162">
        <f t="shared" ca="1" si="23"/>
        <v>94</v>
      </c>
      <c r="I162">
        <f t="shared" ca="1" si="16"/>
        <v>0</v>
      </c>
    </row>
    <row r="163" spans="1:9">
      <c r="A163">
        <f t="shared" si="17"/>
        <v>159</v>
      </c>
      <c r="B163">
        <f t="shared" ca="1" si="18"/>
        <v>20</v>
      </c>
      <c r="C163">
        <f t="shared" ca="1" si="19"/>
        <v>94</v>
      </c>
      <c r="D163">
        <f t="shared" ca="1" si="20"/>
        <v>114</v>
      </c>
      <c r="E163">
        <f ca="1">_xll.RiskBinomial($B$1,$B$2)</f>
        <v>99</v>
      </c>
      <c r="F163">
        <f t="shared" ca="1" si="21"/>
        <v>15</v>
      </c>
      <c r="G163">
        <f t="shared" ca="1" si="22"/>
        <v>99</v>
      </c>
      <c r="H163">
        <f t="shared" ca="1" si="23"/>
        <v>99</v>
      </c>
      <c r="I163">
        <f t="shared" ca="1" si="16"/>
        <v>0</v>
      </c>
    </row>
    <row r="164" spans="1:9">
      <c r="A164">
        <f t="shared" si="17"/>
        <v>160</v>
      </c>
      <c r="B164">
        <f t="shared" ca="1" si="18"/>
        <v>15</v>
      </c>
      <c r="C164">
        <f t="shared" ca="1" si="19"/>
        <v>99</v>
      </c>
      <c r="D164">
        <f t="shared" ca="1" si="20"/>
        <v>114</v>
      </c>
      <c r="E164">
        <f ca="1">_xll.RiskBinomial($B$1,$B$2)</f>
        <v>88</v>
      </c>
      <c r="F164">
        <f t="shared" ca="1" si="21"/>
        <v>26</v>
      </c>
      <c r="G164">
        <f t="shared" ca="1" si="22"/>
        <v>88</v>
      </c>
      <c r="H164">
        <f t="shared" ca="1" si="23"/>
        <v>88</v>
      </c>
      <c r="I164">
        <f t="shared" ca="1" si="16"/>
        <v>0</v>
      </c>
    </row>
    <row r="165" spans="1:9">
      <c r="A165">
        <f t="shared" si="17"/>
        <v>161</v>
      </c>
      <c r="B165">
        <f t="shared" ca="1" si="18"/>
        <v>26</v>
      </c>
      <c r="C165">
        <f t="shared" ca="1" si="19"/>
        <v>88</v>
      </c>
      <c r="D165">
        <f t="shared" ca="1" si="20"/>
        <v>114</v>
      </c>
      <c r="E165">
        <f ca="1">_xll.RiskBinomial($B$1,$B$2)</f>
        <v>95</v>
      </c>
      <c r="F165">
        <f t="shared" ca="1" si="21"/>
        <v>19</v>
      </c>
      <c r="G165">
        <f t="shared" ca="1" si="22"/>
        <v>95</v>
      </c>
      <c r="H165">
        <f t="shared" ca="1" si="23"/>
        <v>95</v>
      </c>
      <c r="I165">
        <f t="shared" ca="1" si="16"/>
        <v>0</v>
      </c>
    </row>
    <row r="166" spans="1:9">
      <c r="A166">
        <f t="shared" si="17"/>
        <v>162</v>
      </c>
      <c r="B166">
        <f t="shared" ca="1" si="18"/>
        <v>19</v>
      </c>
      <c r="C166">
        <f t="shared" ca="1" si="19"/>
        <v>95</v>
      </c>
      <c r="D166">
        <f t="shared" ca="1" si="20"/>
        <v>114</v>
      </c>
      <c r="E166">
        <f ca="1">_xll.RiskBinomial($B$1,$B$2)</f>
        <v>102</v>
      </c>
      <c r="F166">
        <f t="shared" ca="1" si="21"/>
        <v>12</v>
      </c>
      <c r="G166">
        <f t="shared" ca="1" si="22"/>
        <v>102</v>
      </c>
      <c r="H166">
        <f t="shared" ca="1" si="23"/>
        <v>102</v>
      </c>
      <c r="I166">
        <f t="shared" ca="1" si="16"/>
        <v>0</v>
      </c>
    </row>
    <row r="167" spans="1:9">
      <c r="A167">
        <f t="shared" si="17"/>
        <v>163</v>
      </c>
      <c r="B167">
        <f t="shared" ca="1" si="18"/>
        <v>12</v>
      </c>
      <c r="C167">
        <f t="shared" ca="1" si="19"/>
        <v>102</v>
      </c>
      <c r="D167">
        <f t="shared" ca="1" si="20"/>
        <v>114</v>
      </c>
      <c r="E167">
        <f ca="1">_xll.RiskBinomial($B$1,$B$2)</f>
        <v>112</v>
      </c>
      <c r="F167">
        <f t="shared" ca="1" si="21"/>
        <v>2</v>
      </c>
      <c r="G167">
        <f t="shared" ca="1" si="22"/>
        <v>112</v>
      </c>
      <c r="H167">
        <f t="shared" ca="1" si="23"/>
        <v>110</v>
      </c>
      <c r="I167">
        <f t="shared" ca="1" si="16"/>
        <v>0</v>
      </c>
    </row>
    <row r="168" spans="1:9">
      <c r="A168">
        <f t="shared" si="17"/>
        <v>164</v>
      </c>
      <c r="B168">
        <f t="shared" ca="1" si="18"/>
        <v>2</v>
      </c>
      <c r="C168">
        <f t="shared" ca="1" si="19"/>
        <v>110</v>
      </c>
      <c r="D168">
        <f t="shared" ca="1" si="20"/>
        <v>112</v>
      </c>
      <c r="E168">
        <f ca="1">_xll.RiskBinomial($B$1,$B$2)</f>
        <v>92</v>
      </c>
      <c r="F168">
        <f t="shared" ca="1" si="21"/>
        <v>20</v>
      </c>
      <c r="G168">
        <f t="shared" ca="1" si="22"/>
        <v>94</v>
      </c>
      <c r="H168">
        <f t="shared" ca="1" si="23"/>
        <v>94</v>
      </c>
      <c r="I168">
        <f t="shared" ca="1" si="16"/>
        <v>0</v>
      </c>
    </row>
    <row r="169" spans="1:9">
      <c r="A169">
        <f t="shared" si="17"/>
        <v>165</v>
      </c>
      <c r="B169">
        <f t="shared" ca="1" si="18"/>
        <v>20</v>
      </c>
      <c r="C169">
        <f t="shared" ca="1" si="19"/>
        <v>94</v>
      </c>
      <c r="D169">
        <f t="shared" ca="1" si="20"/>
        <v>114</v>
      </c>
      <c r="E169">
        <f ca="1">_xll.RiskBinomial($B$1,$B$2)</f>
        <v>88</v>
      </c>
      <c r="F169">
        <f t="shared" ca="1" si="21"/>
        <v>26</v>
      </c>
      <c r="G169">
        <f t="shared" ca="1" si="22"/>
        <v>88</v>
      </c>
      <c r="H169">
        <f t="shared" ca="1" si="23"/>
        <v>88</v>
      </c>
      <c r="I169">
        <f t="shared" ca="1" si="16"/>
        <v>0</v>
      </c>
    </row>
    <row r="170" spans="1:9">
      <c r="A170">
        <f t="shared" si="17"/>
        <v>166</v>
      </c>
      <c r="B170">
        <f t="shared" ca="1" si="18"/>
        <v>26</v>
      </c>
      <c r="C170">
        <f t="shared" ca="1" si="19"/>
        <v>88</v>
      </c>
      <c r="D170">
        <f t="shared" ca="1" si="20"/>
        <v>114</v>
      </c>
      <c r="E170">
        <f ca="1">_xll.RiskBinomial($B$1,$B$2)</f>
        <v>96</v>
      </c>
      <c r="F170">
        <f t="shared" ca="1" si="21"/>
        <v>18</v>
      </c>
      <c r="G170">
        <f t="shared" ca="1" si="22"/>
        <v>96</v>
      </c>
      <c r="H170">
        <f t="shared" ca="1" si="23"/>
        <v>96</v>
      </c>
      <c r="I170">
        <f t="shared" ca="1" si="16"/>
        <v>0</v>
      </c>
    </row>
    <row r="171" spans="1:9">
      <c r="A171">
        <f t="shared" si="17"/>
        <v>167</v>
      </c>
      <c r="B171">
        <f t="shared" ca="1" si="18"/>
        <v>18</v>
      </c>
      <c r="C171">
        <f t="shared" ca="1" si="19"/>
        <v>96</v>
      </c>
      <c r="D171">
        <f t="shared" ca="1" si="20"/>
        <v>114</v>
      </c>
      <c r="E171">
        <f ca="1">_xll.RiskBinomial($B$1,$B$2)</f>
        <v>108</v>
      </c>
      <c r="F171">
        <f t="shared" ca="1" si="21"/>
        <v>6</v>
      </c>
      <c r="G171">
        <f t="shared" ca="1" si="22"/>
        <v>108</v>
      </c>
      <c r="H171">
        <f t="shared" ca="1" si="23"/>
        <v>108</v>
      </c>
      <c r="I171">
        <f t="shared" ca="1" si="16"/>
        <v>0</v>
      </c>
    </row>
    <row r="172" spans="1:9">
      <c r="A172">
        <f t="shared" si="17"/>
        <v>168</v>
      </c>
      <c r="B172">
        <f t="shared" ca="1" si="18"/>
        <v>6</v>
      </c>
      <c r="C172">
        <f t="shared" ca="1" si="19"/>
        <v>108</v>
      </c>
      <c r="D172">
        <f t="shared" ca="1" si="20"/>
        <v>114</v>
      </c>
      <c r="E172">
        <f ca="1">_xll.RiskBinomial($B$1,$B$2)</f>
        <v>99</v>
      </c>
      <c r="F172">
        <f t="shared" ca="1" si="21"/>
        <v>15</v>
      </c>
      <c r="G172">
        <f t="shared" ca="1" si="22"/>
        <v>99</v>
      </c>
      <c r="H172">
        <f t="shared" ca="1" si="23"/>
        <v>99</v>
      </c>
      <c r="I172">
        <f t="shared" ca="1" si="16"/>
        <v>0</v>
      </c>
    </row>
    <row r="173" spans="1:9">
      <c r="A173">
        <f t="shared" si="17"/>
        <v>169</v>
      </c>
      <c r="B173">
        <f t="shared" ca="1" si="18"/>
        <v>15</v>
      </c>
      <c r="C173">
        <f t="shared" ca="1" si="19"/>
        <v>99</v>
      </c>
      <c r="D173">
        <f t="shared" ca="1" si="20"/>
        <v>114</v>
      </c>
      <c r="E173">
        <f ca="1">_xll.RiskBinomial($B$1,$B$2)</f>
        <v>77</v>
      </c>
      <c r="F173">
        <f t="shared" ca="1" si="21"/>
        <v>37</v>
      </c>
      <c r="G173">
        <f t="shared" ca="1" si="22"/>
        <v>77</v>
      </c>
      <c r="H173">
        <f t="shared" ca="1" si="23"/>
        <v>77</v>
      </c>
      <c r="I173">
        <f t="shared" ca="1" si="16"/>
        <v>0</v>
      </c>
    </row>
    <row r="174" spans="1:9">
      <c r="A174">
        <f t="shared" si="17"/>
        <v>170</v>
      </c>
      <c r="B174">
        <f t="shared" ca="1" si="18"/>
        <v>37</v>
      </c>
      <c r="C174">
        <f t="shared" ca="1" si="19"/>
        <v>77</v>
      </c>
      <c r="D174">
        <f t="shared" ca="1" si="20"/>
        <v>114</v>
      </c>
      <c r="E174">
        <f ca="1">_xll.RiskBinomial($B$1,$B$2)</f>
        <v>93</v>
      </c>
      <c r="F174">
        <f t="shared" ca="1" si="21"/>
        <v>21</v>
      </c>
      <c r="G174">
        <f t="shared" ca="1" si="22"/>
        <v>93</v>
      </c>
      <c r="H174">
        <f t="shared" ca="1" si="23"/>
        <v>93</v>
      </c>
      <c r="I174">
        <f t="shared" ca="1" si="16"/>
        <v>0</v>
      </c>
    </row>
    <row r="175" spans="1:9">
      <c r="A175">
        <f t="shared" si="17"/>
        <v>171</v>
      </c>
      <c r="B175">
        <f t="shared" ca="1" si="18"/>
        <v>21</v>
      </c>
      <c r="C175">
        <f t="shared" ca="1" si="19"/>
        <v>93</v>
      </c>
      <c r="D175">
        <f t="shared" ca="1" si="20"/>
        <v>114</v>
      </c>
      <c r="E175">
        <f ca="1">_xll.RiskBinomial($B$1,$B$2)</f>
        <v>93</v>
      </c>
      <c r="F175">
        <f t="shared" ca="1" si="21"/>
        <v>21</v>
      </c>
      <c r="G175">
        <f t="shared" ca="1" si="22"/>
        <v>93</v>
      </c>
      <c r="H175">
        <f t="shared" ca="1" si="23"/>
        <v>93</v>
      </c>
      <c r="I175">
        <f t="shared" ca="1" si="16"/>
        <v>0</v>
      </c>
    </row>
    <row r="176" spans="1:9">
      <c r="A176">
        <f t="shared" si="17"/>
        <v>172</v>
      </c>
      <c r="B176">
        <f t="shared" ca="1" si="18"/>
        <v>21</v>
      </c>
      <c r="C176">
        <f t="shared" ca="1" si="19"/>
        <v>93</v>
      </c>
      <c r="D176">
        <f t="shared" ca="1" si="20"/>
        <v>114</v>
      </c>
      <c r="E176">
        <f ca="1">_xll.RiskBinomial($B$1,$B$2)</f>
        <v>91</v>
      </c>
      <c r="F176">
        <f t="shared" ca="1" si="21"/>
        <v>23</v>
      </c>
      <c r="G176">
        <f t="shared" ca="1" si="22"/>
        <v>91</v>
      </c>
      <c r="H176">
        <f t="shared" ca="1" si="23"/>
        <v>91</v>
      </c>
      <c r="I176">
        <f t="shared" ca="1" si="16"/>
        <v>0</v>
      </c>
    </row>
    <row r="177" spans="1:9">
      <c r="A177">
        <f t="shared" si="17"/>
        <v>173</v>
      </c>
      <c r="B177">
        <f t="shared" ca="1" si="18"/>
        <v>23</v>
      </c>
      <c r="C177">
        <f t="shared" ca="1" si="19"/>
        <v>91</v>
      </c>
      <c r="D177">
        <f t="shared" ca="1" si="20"/>
        <v>114</v>
      </c>
      <c r="E177">
        <f ca="1">_xll.RiskBinomial($B$1,$B$2)</f>
        <v>103</v>
      </c>
      <c r="F177">
        <f t="shared" ca="1" si="21"/>
        <v>11</v>
      </c>
      <c r="G177">
        <f t="shared" ca="1" si="22"/>
        <v>103</v>
      </c>
      <c r="H177">
        <f t="shared" ca="1" si="23"/>
        <v>103</v>
      </c>
      <c r="I177">
        <f t="shared" ca="1" si="16"/>
        <v>0</v>
      </c>
    </row>
    <row r="178" spans="1:9">
      <c r="A178">
        <f t="shared" si="17"/>
        <v>174</v>
      </c>
      <c r="B178">
        <f t="shared" ca="1" si="18"/>
        <v>11</v>
      </c>
      <c r="C178">
        <f t="shared" ca="1" si="19"/>
        <v>103</v>
      </c>
      <c r="D178">
        <f t="shared" ca="1" si="20"/>
        <v>114</v>
      </c>
      <c r="E178">
        <f ca="1">_xll.RiskBinomial($B$1,$B$2)</f>
        <v>95</v>
      </c>
      <c r="F178">
        <f t="shared" ca="1" si="21"/>
        <v>19</v>
      </c>
      <c r="G178">
        <f t="shared" ca="1" si="22"/>
        <v>95</v>
      </c>
      <c r="H178">
        <f t="shared" ca="1" si="23"/>
        <v>95</v>
      </c>
      <c r="I178">
        <f t="shared" ca="1" si="16"/>
        <v>0</v>
      </c>
    </row>
    <row r="179" spans="1:9">
      <c r="A179">
        <f t="shared" si="17"/>
        <v>175</v>
      </c>
      <c r="B179">
        <f t="shared" ca="1" si="18"/>
        <v>19</v>
      </c>
      <c r="C179">
        <f t="shared" ca="1" si="19"/>
        <v>95</v>
      </c>
      <c r="D179">
        <f t="shared" ca="1" si="20"/>
        <v>114</v>
      </c>
      <c r="E179">
        <f ca="1">_xll.RiskBinomial($B$1,$B$2)</f>
        <v>100</v>
      </c>
      <c r="F179">
        <f t="shared" ca="1" si="21"/>
        <v>14</v>
      </c>
      <c r="G179">
        <f t="shared" ca="1" si="22"/>
        <v>100</v>
      </c>
      <c r="H179">
        <f t="shared" ca="1" si="23"/>
        <v>100</v>
      </c>
      <c r="I179">
        <f t="shared" ca="1" si="16"/>
        <v>0</v>
      </c>
    </row>
    <row r="180" spans="1:9">
      <c r="A180">
        <f t="shared" si="17"/>
        <v>176</v>
      </c>
      <c r="B180">
        <f t="shared" ca="1" si="18"/>
        <v>14</v>
      </c>
      <c r="C180">
        <f t="shared" ca="1" si="19"/>
        <v>100</v>
      </c>
      <c r="D180">
        <f t="shared" ca="1" si="20"/>
        <v>114</v>
      </c>
      <c r="E180">
        <f ca="1">_xll.RiskBinomial($B$1,$B$2)</f>
        <v>113</v>
      </c>
      <c r="F180">
        <f t="shared" ca="1" si="21"/>
        <v>1</v>
      </c>
      <c r="G180">
        <f t="shared" ca="1" si="22"/>
        <v>113</v>
      </c>
      <c r="H180">
        <f t="shared" ca="1" si="23"/>
        <v>110</v>
      </c>
      <c r="I180">
        <f t="shared" ca="1" si="16"/>
        <v>0</v>
      </c>
    </row>
    <row r="181" spans="1:9">
      <c r="A181">
        <f t="shared" si="17"/>
        <v>177</v>
      </c>
      <c r="B181">
        <f t="shared" ca="1" si="18"/>
        <v>1</v>
      </c>
      <c r="C181">
        <f t="shared" ca="1" si="19"/>
        <v>110</v>
      </c>
      <c r="D181">
        <f t="shared" ca="1" si="20"/>
        <v>111</v>
      </c>
      <c r="E181">
        <f ca="1">_xll.RiskBinomial($B$1,$B$2)</f>
        <v>101</v>
      </c>
      <c r="F181">
        <f t="shared" ca="1" si="21"/>
        <v>10</v>
      </c>
      <c r="G181">
        <f t="shared" ca="1" si="22"/>
        <v>104</v>
      </c>
      <c r="H181">
        <f t="shared" ca="1" si="23"/>
        <v>104</v>
      </c>
      <c r="I181">
        <f t="shared" ca="1" si="16"/>
        <v>0</v>
      </c>
    </row>
    <row r="182" spans="1:9">
      <c r="A182">
        <f t="shared" si="17"/>
        <v>178</v>
      </c>
      <c r="B182">
        <f t="shared" ca="1" si="18"/>
        <v>10</v>
      </c>
      <c r="C182">
        <f t="shared" ca="1" si="19"/>
        <v>104</v>
      </c>
      <c r="D182">
        <f t="shared" ca="1" si="20"/>
        <v>114</v>
      </c>
      <c r="E182">
        <f ca="1">_xll.RiskBinomial($B$1,$B$2)</f>
        <v>95</v>
      </c>
      <c r="F182">
        <f t="shared" ca="1" si="21"/>
        <v>19</v>
      </c>
      <c r="G182">
        <f t="shared" ca="1" si="22"/>
        <v>95</v>
      </c>
      <c r="H182">
        <f t="shared" ca="1" si="23"/>
        <v>95</v>
      </c>
      <c r="I182">
        <f t="shared" ca="1" si="16"/>
        <v>0</v>
      </c>
    </row>
    <row r="183" spans="1:9">
      <c r="A183">
        <f t="shared" si="17"/>
        <v>179</v>
      </c>
      <c r="B183">
        <f t="shared" ca="1" si="18"/>
        <v>19</v>
      </c>
      <c r="C183">
        <f t="shared" ca="1" si="19"/>
        <v>95</v>
      </c>
      <c r="D183">
        <f t="shared" ca="1" si="20"/>
        <v>114</v>
      </c>
      <c r="E183">
        <f ca="1">_xll.RiskBinomial($B$1,$B$2)</f>
        <v>104</v>
      </c>
      <c r="F183">
        <f t="shared" ca="1" si="21"/>
        <v>10</v>
      </c>
      <c r="G183">
        <f t="shared" ca="1" si="22"/>
        <v>104</v>
      </c>
      <c r="H183">
        <f t="shared" ca="1" si="23"/>
        <v>104</v>
      </c>
      <c r="I183">
        <f t="shared" ca="1" si="16"/>
        <v>0</v>
      </c>
    </row>
    <row r="184" spans="1:9">
      <c r="A184">
        <f t="shared" si="17"/>
        <v>180</v>
      </c>
      <c r="B184">
        <f t="shared" ca="1" si="18"/>
        <v>10</v>
      </c>
      <c r="C184">
        <f t="shared" ca="1" si="19"/>
        <v>104</v>
      </c>
      <c r="D184">
        <f t="shared" ca="1" si="20"/>
        <v>114</v>
      </c>
      <c r="E184">
        <f ca="1">_xll.RiskBinomial($B$1,$B$2)</f>
        <v>102</v>
      </c>
      <c r="F184">
        <f t="shared" ca="1" si="21"/>
        <v>12</v>
      </c>
      <c r="G184">
        <f t="shared" ca="1" si="22"/>
        <v>102</v>
      </c>
      <c r="H184">
        <f t="shared" ca="1" si="23"/>
        <v>102</v>
      </c>
      <c r="I184">
        <f t="shared" ca="1" si="16"/>
        <v>0</v>
      </c>
    </row>
    <row r="185" spans="1:9">
      <c r="A185">
        <f t="shared" si="17"/>
        <v>181</v>
      </c>
      <c r="B185">
        <f t="shared" ca="1" si="18"/>
        <v>12</v>
      </c>
      <c r="C185">
        <f t="shared" ca="1" si="19"/>
        <v>102</v>
      </c>
      <c r="D185">
        <f t="shared" ca="1" si="20"/>
        <v>114</v>
      </c>
      <c r="E185">
        <f ca="1">_xll.RiskBinomial($B$1,$B$2)</f>
        <v>85</v>
      </c>
      <c r="F185">
        <f t="shared" ca="1" si="21"/>
        <v>29</v>
      </c>
      <c r="G185">
        <f t="shared" ca="1" si="22"/>
        <v>85</v>
      </c>
      <c r="H185">
        <f t="shared" ca="1" si="23"/>
        <v>85</v>
      </c>
      <c r="I185">
        <f t="shared" ca="1" si="16"/>
        <v>0</v>
      </c>
    </row>
    <row r="186" spans="1:9">
      <c r="A186">
        <f t="shared" si="17"/>
        <v>182</v>
      </c>
      <c r="B186">
        <f t="shared" ca="1" si="18"/>
        <v>29</v>
      </c>
      <c r="C186">
        <f t="shared" ca="1" si="19"/>
        <v>85</v>
      </c>
      <c r="D186">
        <f t="shared" ca="1" si="20"/>
        <v>114</v>
      </c>
      <c r="E186">
        <f ca="1">_xll.RiskBinomial($B$1,$B$2)</f>
        <v>87</v>
      </c>
      <c r="F186">
        <f t="shared" ca="1" si="21"/>
        <v>27</v>
      </c>
      <c r="G186">
        <f t="shared" ca="1" si="22"/>
        <v>87</v>
      </c>
      <c r="H186">
        <f t="shared" ca="1" si="23"/>
        <v>87</v>
      </c>
      <c r="I186">
        <f t="shared" ca="1" si="16"/>
        <v>0</v>
      </c>
    </row>
    <row r="187" spans="1:9">
      <c r="A187">
        <f t="shared" si="17"/>
        <v>183</v>
      </c>
      <c r="B187">
        <f t="shared" ca="1" si="18"/>
        <v>27</v>
      </c>
      <c r="C187">
        <f t="shared" ca="1" si="19"/>
        <v>87</v>
      </c>
      <c r="D187">
        <f t="shared" ca="1" si="20"/>
        <v>114</v>
      </c>
      <c r="E187">
        <f ca="1">_xll.RiskBinomial($B$1,$B$2)</f>
        <v>98</v>
      </c>
      <c r="F187">
        <f t="shared" ca="1" si="21"/>
        <v>16</v>
      </c>
      <c r="G187">
        <f t="shared" ca="1" si="22"/>
        <v>98</v>
      </c>
      <c r="H187">
        <f t="shared" ca="1" si="23"/>
        <v>98</v>
      </c>
      <c r="I187">
        <f t="shared" ca="1" si="16"/>
        <v>0</v>
      </c>
    </row>
    <row r="188" spans="1:9">
      <c r="A188">
        <f t="shared" si="17"/>
        <v>184</v>
      </c>
      <c r="B188">
        <f t="shared" ca="1" si="18"/>
        <v>16</v>
      </c>
      <c r="C188">
        <f t="shared" ca="1" si="19"/>
        <v>98</v>
      </c>
      <c r="D188">
        <f t="shared" ca="1" si="20"/>
        <v>114</v>
      </c>
      <c r="E188">
        <f ca="1">_xll.RiskBinomial($B$1,$B$2)</f>
        <v>93</v>
      </c>
      <c r="F188">
        <f t="shared" ca="1" si="21"/>
        <v>21</v>
      </c>
      <c r="G188">
        <f t="shared" ca="1" si="22"/>
        <v>93</v>
      </c>
      <c r="H188">
        <f t="shared" ca="1" si="23"/>
        <v>93</v>
      </c>
      <c r="I188">
        <f t="shared" ca="1" si="16"/>
        <v>0</v>
      </c>
    </row>
    <row r="189" spans="1:9">
      <c r="A189">
        <f t="shared" si="17"/>
        <v>185</v>
      </c>
      <c r="B189">
        <f t="shared" ca="1" si="18"/>
        <v>21</v>
      </c>
      <c r="C189">
        <f t="shared" ca="1" si="19"/>
        <v>93</v>
      </c>
      <c r="D189">
        <f t="shared" ca="1" si="20"/>
        <v>114</v>
      </c>
      <c r="E189">
        <f ca="1">_xll.RiskBinomial($B$1,$B$2)</f>
        <v>92</v>
      </c>
      <c r="F189">
        <f t="shared" ca="1" si="21"/>
        <v>22</v>
      </c>
      <c r="G189">
        <f t="shared" ca="1" si="22"/>
        <v>92</v>
      </c>
      <c r="H189">
        <f t="shared" ca="1" si="23"/>
        <v>92</v>
      </c>
      <c r="I189">
        <f t="shared" ca="1" si="16"/>
        <v>0</v>
      </c>
    </row>
    <row r="190" spans="1:9">
      <c r="A190">
        <f t="shared" si="17"/>
        <v>186</v>
      </c>
      <c r="B190">
        <f t="shared" ca="1" si="18"/>
        <v>22</v>
      </c>
      <c r="C190">
        <f t="shared" ca="1" si="19"/>
        <v>92</v>
      </c>
      <c r="D190">
        <f t="shared" ca="1" si="20"/>
        <v>114</v>
      </c>
      <c r="E190">
        <f ca="1">_xll.RiskBinomial($B$1,$B$2)</f>
        <v>106</v>
      </c>
      <c r="F190">
        <f t="shared" ca="1" si="21"/>
        <v>8</v>
      </c>
      <c r="G190">
        <f t="shared" ca="1" si="22"/>
        <v>106</v>
      </c>
      <c r="H190">
        <f t="shared" ca="1" si="23"/>
        <v>106</v>
      </c>
      <c r="I190">
        <f t="shared" ca="1" si="16"/>
        <v>0</v>
      </c>
    </row>
    <row r="191" spans="1:9">
      <c r="A191">
        <f t="shared" si="17"/>
        <v>187</v>
      </c>
      <c r="B191">
        <f t="shared" ca="1" si="18"/>
        <v>8</v>
      </c>
      <c r="C191">
        <f t="shared" ca="1" si="19"/>
        <v>106</v>
      </c>
      <c r="D191">
        <f t="shared" ca="1" si="20"/>
        <v>114</v>
      </c>
      <c r="E191">
        <f ca="1">_xll.RiskBinomial($B$1,$B$2)</f>
        <v>107</v>
      </c>
      <c r="F191">
        <f t="shared" ca="1" si="21"/>
        <v>7</v>
      </c>
      <c r="G191">
        <f t="shared" ca="1" si="22"/>
        <v>107</v>
      </c>
      <c r="H191">
        <f t="shared" ca="1" si="23"/>
        <v>107</v>
      </c>
      <c r="I191">
        <f t="shared" ca="1" si="16"/>
        <v>0</v>
      </c>
    </row>
    <row r="192" spans="1:9">
      <c r="A192">
        <f t="shared" si="17"/>
        <v>188</v>
      </c>
      <c r="B192">
        <f t="shared" ca="1" si="18"/>
        <v>7</v>
      </c>
      <c r="C192">
        <f t="shared" ca="1" si="19"/>
        <v>107</v>
      </c>
      <c r="D192">
        <f t="shared" ca="1" si="20"/>
        <v>114</v>
      </c>
      <c r="E192">
        <f ca="1">_xll.RiskBinomial($B$1,$B$2)</f>
        <v>101</v>
      </c>
      <c r="F192">
        <f t="shared" ca="1" si="21"/>
        <v>13</v>
      </c>
      <c r="G192">
        <f t="shared" ca="1" si="22"/>
        <v>101</v>
      </c>
      <c r="H192">
        <f t="shared" ca="1" si="23"/>
        <v>101</v>
      </c>
      <c r="I192">
        <f t="shared" ca="1" si="16"/>
        <v>0</v>
      </c>
    </row>
    <row r="193" spans="1:9">
      <c r="A193">
        <f t="shared" si="17"/>
        <v>189</v>
      </c>
      <c r="B193">
        <f t="shared" ca="1" si="18"/>
        <v>13</v>
      </c>
      <c r="C193">
        <f t="shared" ca="1" si="19"/>
        <v>101</v>
      </c>
      <c r="D193">
        <f t="shared" ca="1" si="20"/>
        <v>114</v>
      </c>
      <c r="E193">
        <f ca="1">_xll.RiskBinomial($B$1,$B$2)</f>
        <v>69</v>
      </c>
      <c r="F193">
        <f t="shared" ca="1" si="21"/>
        <v>45</v>
      </c>
      <c r="G193">
        <f t="shared" ca="1" si="22"/>
        <v>69</v>
      </c>
      <c r="H193">
        <f t="shared" ca="1" si="23"/>
        <v>69</v>
      </c>
      <c r="I193">
        <f t="shared" ca="1" si="16"/>
        <v>0</v>
      </c>
    </row>
    <row r="194" spans="1:9">
      <c r="A194">
        <f t="shared" si="17"/>
        <v>190</v>
      </c>
      <c r="B194">
        <f t="shared" ca="1" si="18"/>
        <v>45</v>
      </c>
      <c r="C194">
        <f t="shared" ca="1" si="19"/>
        <v>69</v>
      </c>
      <c r="D194">
        <f t="shared" ca="1" si="20"/>
        <v>114</v>
      </c>
      <c r="E194">
        <f ca="1">_xll.RiskBinomial($B$1,$B$2)</f>
        <v>97</v>
      </c>
      <c r="F194">
        <f t="shared" ca="1" si="21"/>
        <v>17</v>
      </c>
      <c r="G194">
        <f t="shared" ca="1" si="22"/>
        <v>97</v>
      </c>
      <c r="H194">
        <f t="shared" ca="1" si="23"/>
        <v>97</v>
      </c>
      <c r="I194">
        <f t="shared" ca="1" si="16"/>
        <v>0</v>
      </c>
    </row>
    <row r="195" spans="1:9">
      <c r="A195">
        <f t="shared" si="17"/>
        <v>191</v>
      </c>
      <c r="B195">
        <f t="shared" ca="1" si="18"/>
        <v>17</v>
      </c>
      <c r="C195">
        <f t="shared" ca="1" si="19"/>
        <v>97</v>
      </c>
      <c r="D195">
        <f t="shared" ca="1" si="20"/>
        <v>114</v>
      </c>
      <c r="E195">
        <f ca="1">_xll.RiskBinomial($B$1,$B$2)</f>
        <v>88</v>
      </c>
      <c r="F195">
        <f t="shared" ca="1" si="21"/>
        <v>26</v>
      </c>
      <c r="G195">
        <f t="shared" ca="1" si="22"/>
        <v>88</v>
      </c>
      <c r="H195">
        <f t="shared" ca="1" si="23"/>
        <v>88</v>
      </c>
      <c r="I195">
        <f t="shared" ca="1" si="16"/>
        <v>0</v>
      </c>
    </row>
    <row r="196" spans="1:9">
      <c r="A196">
        <f t="shared" si="17"/>
        <v>192</v>
      </c>
      <c r="B196">
        <f t="shared" ca="1" si="18"/>
        <v>26</v>
      </c>
      <c r="C196">
        <f t="shared" ca="1" si="19"/>
        <v>88</v>
      </c>
      <c r="D196">
        <f t="shared" ca="1" si="20"/>
        <v>114</v>
      </c>
      <c r="E196">
        <f ca="1">_xll.RiskBinomial($B$1,$B$2)</f>
        <v>94</v>
      </c>
      <c r="F196">
        <f t="shared" ca="1" si="21"/>
        <v>20</v>
      </c>
      <c r="G196">
        <f t="shared" ca="1" si="22"/>
        <v>94</v>
      </c>
      <c r="H196">
        <f t="shared" ca="1" si="23"/>
        <v>94</v>
      </c>
      <c r="I196">
        <f t="shared" ca="1" si="16"/>
        <v>0</v>
      </c>
    </row>
    <row r="197" spans="1:9">
      <c r="A197">
        <f t="shared" si="17"/>
        <v>193</v>
      </c>
      <c r="B197">
        <f t="shared" ca="1" si="18"/>
        <v>20</v>
      </c>
      <c r="C197">
        <f t="shared" ca="1" si="19"/>
        <v>94</v>
      </c>
      <c r="D197">
        <f t="shared" ca="1" si="20"/>
        <v>114</v>
      </c>
      <c r="E197">
        <f ca="1">_xll.RiskBinomial($B$1,$B$2)</f>
        <v>107</v>
      </c>
      <c r="F197">
        <f t="shared" ca="1" si="21"/>
        <v>7</v>
      </c>
      <c r="G197">
        <f t="shared" ca="1" si="22"/>
        <v>107</v>
      </c>
      <c r="H197">
        <f t="shared" ca="1" si="23"/>
        <v>107</v>
      </c>
      <c r="I197">
        <f t="shared" ca="1" si="16"/>
        <v>0</v>
      </c>
    </row>
    <row r="198" spans="1:9">
      <c r="A198">
        <f t="shared" si="17"/>
        <v>194</v>
      </c>
      <c r="B198">
        <f t="shared" ca="1" si="18"/>
        <v>7</v>
      </c>
      <c r="C198">
        <f t="shared" ca="1" si="19"/>
        <v>107</v>
      </c>
      <c r="D198">
        <f t="shared" ca="1" si="20"/>
        <v>114</v>
      </c>
      <c r="E198">
        <f ca="1">_xll.RiskBinomial($B$1,$B$2)</f>
        <v>110</v>
      </c>
      <c r="F198">
        <f t="shared" ca="1" si="21"/>
        <v>4</v>
      </c>
      <c r="G198">
        <f t="shared" ca="1" si="22"/>
        <v>110</v>
      </c>
      <c r="H198">
        <f t="shared" ca="1" si="23"/>
        <v>110</v>
      </c>
      <c r="I198">
        <f t="shared" ref="I198:I261" ca="1" si="24">IF(F198&lt;0,1,0)</f>
        <v>0</v>
      </c>
    </row>
    <row r="199" spans="1:9">
      <c r="A199">
        <f t="shared" ref="A199:A262" si="25">A198+1</f>
        <v>195</v>
      </c>
      <c r="B199">
        <f t="shared" ref="B199:B262" ca="1" si="26">F198</f>
        <v>4</v>
      </c>
      <c r="C199">
        <f t="shared" ref="C199:C262" ca="1" si="27">H198</f>
        <v>110</v>
      </c>
      <c r="D199">
        <f t="shared" ref="D199:D262" ca="1" si="28">B199+C199</f>
        <v>114</v>
      </c>
      <c r="E199">
        <f ca="1">_xll.RiskBinomial($B$1,$B$2)</f>
        <v>113</v>
      </c>
      <c r="F199">
        <f t="shared" ref="F199:F262" ca="1" si="29">D199-E199</f>
        <v>1</v>
      </c>
      <c r="G199">
        <f t="shared" ref="G199:G262" ca="1" si="30">$H$1-F199</f>
        <v>113</v>
      </c>
      <c r="H199">
        <f t="shared" ref="H199:H262" ca="1" si="31">MIN(G199,$H$2)</f>
        <v>110</v>
      </c>
      <c r="I199">
        <f t="shared" ca="1" si="24"/>
        <v>0</v>
      </c>
    </row>
    <row r="200" spans="1:9">
      <c r="A200">
        <f t="shared" si="25"/>
        <v>196</v>
      </c>
      <c r="B200">
        <f t="shared" ca="1" si="26"/>
        <v>1</v>
      </c>
      <c r="C200">
        <f t="shared" ca="1" si="27"/>
        <v>110</v>
      </c>
      <c r="D200">
        <f t="shared" ca="1" si="28"/>
        <v>111</v>
      </c>
      <c r="E200">
        <f ca="1">_xll.RiskBinomial($B$1,$B$2)</f>
        <v>86</v>
      </c>
      <c r="F200">
        <f t="shared" ca="1" si="29"/>
        <v>25</v>
      </c>
      <c r="G200">
        <f t="shared" ca="1" si="30"/>
        <v>89</v>
      </c>
      <c r="H200">
        <f t="shared" ca="1" si="31"/>
        <v>89</v>
      </c>
      <c r="I200">
        <f t="shared" ca="1" si="24"/>
        <v>0</v>
      </c>
    </row>
    <row r="201" spans="1:9">
      <c r="A201">
        <f t="shared" si="25"/>
        <v>197</v>
      </c>
      <c r="B201">
        <f t="shared" ca="1" si="26"/>
        <v>25</v>
      </c>
      <c r="C201">
        <f t="shared" ca="1" si="27"/>
        <v>89</v>
      </c>
      <c r="D201">
        <f t="shared" ca="1" si="28"/>
        <v>114</v>
      </c>
      <c r="E201">
        <f ca="1">_xll.RiskBinomial($B$1,$B$2)</f>
        <v>91</v>
      </c>
      <c r="F201">
        <f t="shared" ca="1" si="29"/>
        <v>23</v>
      </c>
      <c r="G201">
        <f t="shared" ca="1" si="30"/>
        <v>91</v>
      </c>
      <c r="H201">
        <f t="shared" ca="1" si="31"/>
        <v>91</v>
      </c>
      <c r="I201">
        <f t="shared" ca="1" si="24"/>
        <v>0</v>
      </c>
    </row>
    <row r="202" spans="1:9">
      <c r="A202">
        <f t="shared" si="25"/>
        <v>198</v>
      </c>
      <c r="B202">
        <f t="shared" ca="1" si="26"/>
        <v>23</v>
      </c>
      <c r="C202">
        <f t="shared" ca="1" si="27"/>
        <v>91</v>
      </c>
      <c r="D202">
        <f t="shared" ca="1" si="28"/>
        <v>114</v>
      </c>
      <c r="E202">
        <f ca="1">_xll.RiskBinomial($B$1,$B$2)</f>
        <v>94</v>
      </c>
      <c r="F202">
        <f t="shared" ca="1" si="29"/>
        <v>20</v>
      </c>
      <c r="G202">
        <f t="shared" ca="1" si="30"/>
        <v>94</v>
      </c>
      <c r="H202">
        <f t="shared" ca="1" si="31"/>
        <v>94</v>
      </c>
      <c r="I202">
        <f t="shared" ca="1" si="24"/>
        <v>0</v>
      </c>
    </row>
    <row r="203" spans="1:9">
      <c r="A203">
        <f t="shared" si="25"/>
        <v>199</v>
      </c>
      <c r="B203">
        <f t="shared" ca="1" si="26"/>
        <v>20</v>
      </c>
      <c r="C203">
        <f t="shared" ca="1" si="27"/>
        <v>94</v>
      </c>
      <c r="D203">
        <f t="shared" ca="1" si="28"/>
        <v>114</v>
      </c>
      <c r="E203">
        <f ca="1">_xll.RiskBinomial($B$1,$B$2)</f>
        <v>99</v>
      </c>
      <c r="F203">
        <f t="shared" ca="1" si="29"/>
        <v>15</v>
      </c>
      <c r="G203">
        <f t="shared" ca="1" si="30"/>
        <v>99</v>
      </c>
      <c r="H203">
        <f t="shared" ca="1" si="31"/>
        <v>99</v>
      </c>
      <c r="I203">
        <f t="shared" ca="1" si="24"/>
        <v>0</v>
      </c>
    </row>
    <row r="204" spans="1:9">
      <c r="A204">
        <f t="shared" si="25"/>
        <v>200</v>
      </c>
      <c r="B204">
        <f t="shared" ca="1" si="26"/>
        <v>15</v>
      </c>
      <c r="C204">
        <f t="shared" ca="1" si="27"/>
        <v>99</v>
      </c>
      <c r="D204">
        <f t="shared" ca="1" si="28"/>
        <v>114</v>
      </c>
      <c r="E204">
        <f ca="1">_xll.RiskBinomial($B$1,$B$2)</f>
        <v>106</v>
      </c>
      <c r="F204">
        <f t="shared" ca="1" si="29"/>
        <v>8</v>
      </c>
      <c r="G204">
        <f t="shared" ca="1" si="30"/>
        <v>106</v>
      </c>
      <c r="H204">
        <f t="shared" ca="1" si="31"/>
        <v>106</v>
      </c>
      <c r="I204">
        <f t="shared" ca="1" si="24"/>
        <v>0</v>
      </c>
    </row>
    <row r="205" spans="1:9">
      <c r="A205">
        <f t="shared" si="25"/>
        <v>201</v>
      </c>
      <c r="B205">
        <f t="shared" ca="1" si="26"/>
        <v>8</v>
      </c>
      <c r="C205">
        <f t="shared" ca="1" si="27"/>
        <v>106</v>
      </c>
      <c r="D205">
        <f t="shared" ca="1" si="28"/>
        <v>114</v>
      </c>
      <c r="E205">
        <f ca="1">_xll.RiskBinomial($B$1,$B$2)</f>
        <v>102</v>
      </c>
      <c r="F205">
        <f t="shared" ca="1" si="29"/>
        <v>12</v>
      </c>
      <c r="G205">
        <f t="shared" ca="1" si="30"/>
        <v>102</v>
      </c>
      <c r="H205">
        <f t="shared" ca="1" si="31"/>
        <v>102</v>
      </c>
      <c r="I205">
        <f t="shared" ca="1" si="24"/>
        <v>0</v>
      </c>
    </row>
    <row r="206" spans="1:9">
      <c r="A206">
        <f t="shared" si="25"/>
        <v>202</v>
      </c>
      <c r="B206">
        <f t="shared" ca="1" si="26"/>
        <v>12</v>
      </c>
      <c r="C206">
        <f t="shared" ca="1" si="27"/>
        <v>102</v>
      </c>
      <c r="D206">
        <f t="shared" ca="1" si="28"/>
        <v>114</v>
      </c>
      <c r="E206">
        <f ca="1">_xll.RiskBinomial($B$1,$B$2)</f>
        <v>93</v>
      </c>
      <c r="F206">
        <f t="shared" ca="1" si="29"/>
        <v>21</v>
      </c>
      <c r="G206">
        <f t="shared" ca="1" si="30"/>
        <v>93</v>
      </c>
      <c r="H206">
        <f t="shared" ca="1" si="31"/>
        <v>93</v>
      </c>
      <c r="I206">
        <f t="shared" ca="1" si="24"/>
        <v>0</v>
      </c>
    </row>
    <row r="207" spans="1:9">
      <c r="A207">
        <f t="shared" si="25"/>
        <v>203</v>
      </c>
      <c r="B207">
        <f t="shared" ca="1" si="26"/>
        <v>21</v>
      </c>
      <c r="C207">
        <f t="shared" ca="1" si="27"/>
        <v>93</v>
      </c>
      <c r="D207">
        <f t="shared" ca="1" si="28"/>
        <v>114</v>
      </c>
      <c r="E207">
        <f ca="1">_xll.RiskBinomial($B$1,$B$2)</f>
        <v>105</v>
      </c>
      <c r="F207">
        <f t="shared" ca="1" si="29"/>
        <v>9</v>
      </c>
      <c r="G207">
        <f t="shared" ca="1" si="30"/>
        <v>105</v>
      </c>
      <c r="H207">
        <f t="shared" ca="1" si="31"/>
        <v>105</v>
      </c>
      <c r="I207">
        <f t="shared" ca="1" si="24"/>
        <v>0</v>
      </c>
    </row>
    <row r="208" spans="1:9">
      <c r="A208">
        <f t="shared" si="25"/>
        <v>204</v>
      </c>
      <c r="B208">
        <f t="shared" ca="1" si="26"/>
        <v>9</v>
      </c>
      <c r="C208">
        <f t="shared" ca="1" si="27"/>
        <v>105</v>
      </c>
      <c r="D208">
        <f t="shared" ca="1" si="28"/>
        <v>114</v>
      </c>
      <c r="E208">
        <f ca="1">_xll.RiskBinomial($B$1,$B$2)</f>
        <v>101</v>
      </c>
      <c r="F208">
        <f t="shared" ca="1" si="29"/>
        <v>13</v>
      </c>
      <c r="G208">
        <f t="shared" ca="1" si="30"/>
        <v>101</v>
      </c>
      <c r="H208">
        <f t="shared" ca="1" si="31"/>
        <v>101</v>
      </c>
      <c r="I208">
        <f t="shared" ca="1" si="24"/>
        <v>0</v>
      </c>
    </row>
    <row r="209" spans="1:9">
      <c r="A209">
        <f t="shared" si="25"/>
        <v>205</v>
      </c>
      <c r="B209">
        <f t="shared" ca="1" si="26"/>
        <v>13</v>
      </c>
      <c r="C209">
        <f t="shared" ca="1" si="27"/>
        <v>101</v>
      </c>
      <c r="D209">
        <f t="shared" ca="1" si="28"/>
        <v>114</v>
      </c>
      <c r="E209">
        <f ca="1">_xll.RiskBinomial($B$1,$B$2)</f>
        <v>109</v>
      </c>
      <c r="F209">
        <f t="shared" ca="1" si="29"/>
        <v>5</v>
      </c>
      <c r="G209">
        <f t="shared" ca="1" si="30"/>
        <v>109</v>
      </c>
      <c r="H209">
        <f t="shared" ca="1" si="31"/>
        <v>109</v>
      </c>
      <c r="I209">
        <f t="shared" ca="1" si="24"/>
        <v>0</v>
      </c>
    </row>
    <row r="210" spans="1:9">
      <c r="A210">
        <f t="shared" si="25"/>
        <v>206</v>
      </c>
      <c r="B210">
        <f t="shared" ca="1" si="26"/>
        <v>5</v>
      </c>
      <c r="C210">
        <f t="shared" ca="1" si="27"/>
        <v>109</v>
      </c>
      <c r="D210">
        <f t="shared" ca="1" si="28"/>
        <v>114</v>
      </c>
      <c r="E210">
        <f ca="1">_xll.RiskBinomial($B$1,$B$2)</f>
        <v>102</v>
      </c>
      <c r="F210">
        <f t="shared" ca="1" si="29"/>
        <v>12</v>
      </c>
      <c r="G210">
        <f t="shared" ca="1" si="30"/>
        <v>102</v>
      </c>
      <c r="H210">
        <f t="shared" ca="1" si="31"/>
        <v>102</v>
      </c>
      <c r="I210">
        <f t="shared" ca="1" si="24"/>
        <v>0</v>
      </c>
    </row>
    <row r="211" spans="1:9">
      <c r="A211">
        <f t="shared" si="25"/>
        <v>207</v>
      </c>
      <c r="B211">
        <f t="shared" ca="1" si="26"/>
        <v>12</v>
      </c>
      <c r="C211">
        <f t="shared" ca="1" si="27"/>
        <v>102</v>
      </c>
      <c r="D211">
        <f t="shared" ca="1" si="28"/>
        <v>114</v>
      </c>
      <c r="E211">
        <f ca="1">_xll.RiskBinomial($B$1,$B$2)</f>
        <v>96</v>
      </c>
      <c r="F211">
        <f t="shared" ca="1" si="29"/>
        <v>18</v>
      </c>
      <c r="G211">
        <f t="shared" ca="1" si="30"/>
        <v>96</v>
      </c>
      <c r="H211">
        <f t="shared" ca="1" si="31"/>
        <v>96</v>
      </c>
      <c r="I211">
        <f t="shared" ca="1" si="24"/>
        <v>0</v>
      </c>
    </row>
    <row r="212" spans="1:9">
      <c r="A212">
        <f t="shared" si="25"/>
        <v>208</v>
      </c>
      <c r="B212">
        <f t="shared" ca="1" si="26"/>
        <v>18</v>
      </c>
      <c r="C212">
        <f t="shared" ca="1" si="27"/>
        <v>96</v>
      </c>
      <c r="D212">
        <f t="shared" ca="1" si="28"/>
        <v>114</v>
      </c>
      <c r="E212">
        <f ca="1">_xll.RiskBinomial($B$1,$B$2)</f>
        <v>88</v>
      </c>
      <c r="F212">
        <f t="shared" ca="1" si="29"/>
        <v>26</v>
      </c>
      <c r="G212">
        <f t="shared" ca="1" si="30"/>
        <v>88</v>
      </c>
      <c r="H212">
        <f t="shared" ca="1" si="31"/>
        <v>88</v>
      </c>
      <c r="I212">
        <f t="shared" ca="1" si="24"/>
        <v>0</v>
      </c>
    </row>
    <row r="213" spans="1:9">
      <c r="A213">
        <f t="shared" si="25"/>
        <v>209</v>
      </c>
      <c r="B213">
        <f t="shared" ca="1" si="26"/>
        <v>26</v>
      </c>
      <c r="C213">
        <f t="shared" ca="1" si="27"/>
        <v>88</v>
      </c>
      <c r="D213">
        <f t="shared" ca="1" si="28"/>
        <v>114</v>
      </c>
      <c r="E213">
        <f ca="1">_xll.RiskBinomial($B$1,$B$2)</f>
        <v>101</v>
      </c>
      <c r="F213">
        <f t="shared" ca="1" si="29"/>
        <v>13</v>
      </c>
      <c r="G213">
        <f t="shared" ca="1" si="30"/>
        <v>101</v>
      </c>
      <c r="H213">
        <f t="shared" ca="1" si="31"/>
        <v>101</v>
      </c>
      <c r="I213">
        <f t="shared" ca="1" si="24"/>
        <v>0</v>
      </c>
    </row>
    <row r="214" spans="1:9">
      <c r="A214">
        <f t="shared" si="25"/>
        <v>210</v>
      </c>
      <c r="B214">
        <f t="shared" ca="1" si="26"/>
        <v>13</v>
      </c>
      <c r="C214">
        <f t="shared" ca="1" si="27"/>
        <v>101</v>
      </c>
      <c r="D214">
        <f t="shared" ca="1" si="28"/>
        <v>114</v>
      </c>
      <c r="E214">
        <f ca="1">_xll.RiskBinomial($B$1,$B$2)</f>
        <v>96</v>
      </c>
      <c r="F214">
        <f t="shared" ca="1" si="29"/>
        <v>18</v>
      </c>
      <c r="G214">
        <f t="shared" ca="1" si="30"/>
        <v>96</v>
      </c>
      <c r="H214">
        <f t="shared" ca="1" si="31"/>
        <v>96</v>
      </c>
      <c r="I214">
        <f t="shared" ca="1" si="24"/>
        <v>0</v>
      </c>
    </row>
    <row r="215" spans="1:9">
      <c r="A215">
        <f t="shared" si="25"/>
        <v>211</v>
      </c>
      <c r="B215">
        <f t="shared" ca="1" si="26"/>
        <v>18</v>
      </c>
      <c r="C215">
        <f t="shared" ca="1" si="27"/>
        <v>96</v>
      </c>
      <c r="D215">
        <f t="shared" ca="1" si="28"/>
        <v>114</v>
      </c>
      <c r="E215">
        <f ca="1">_xll.RiskBinomial($B$1,$B$2)</f>
        <v>101</v>
      </c>
      <c r="F215">
        <f t="shared" ca="1" si="29"/>
        <v>13</v>
      </c>
      <c r="G215">
        <f t="shared" ca="1" si="30"/>
        <v>101</v>
      </c>
      <c r="H215">
        <f t="shared" ca="1" si="31"/>
        <v>101</v>
      </c>
      <c r="I215">
        <f t="shared" ca="1" si="24"/>
        <v>0</v>
      </c>
    </row>
    <row r="216" spans="1:9">
      <c r="A216">
        <f t="shared" si="25"/>
        <v>212</v>
      </c>
      <c r="B216">
        <f t="shared" ca="1" si="26"/>
        <v>13</v>
      </c>
      <c r="C216">
        <f t="shared" ca="1" si="27"/>
        <v>101</v>
      </c>
      <c r="D216">
        <f t="shared" ca="1" si="28"/>
        <v>114</v>
      </c>
      <c r="E216">
        <f ca="1">_xll.RiskBinomial($B$1,$B$2)</f>
        <v>92</v>
      </c>
      <c r="F216">
        <f t="shared" ca="1" si="29"/>
        <v>22</v>
      </c>
      <c r="G216">
        <f t="shared" ca="1" si="30"/>
        <v>92</v>
      </c>
      <c r="H216">
        <f t="shared" ca="1" si="31"/>
        <v>92</v>
      </c>
      <c r="I216">
        <f t="shared" ca="1" si="24"/>
        <v>0</v>
      </c>
    </row>
    <row r="217" spans="1:9">
      <c r="A217">
        <f t="shared" si="25"/>
        <v>213</v>
      </c>
      <c r="B217">
        <f t="shared" ca="1" si="26"/>
        <v>22</v>
      </c>
      <c r="C217">
        <f t="shared" ca="1" si="27"/>
        <v>92</v>
      </c>
      <c r="D217">
        <f t="shared" ca="1" si="28"/>
        <v>114</v>
      </c>
      <c r="E217">
        <f ca="1">_xll.RiskBinomial($B$1,$B$2)</f>
        <v>105</v>
      </c>
      <c r="F217">
        <f t="shared" ca="1" si="29"/>
        <v>9</v>
      </c>
      <c r="G217">
        <f t="shared" ca="1" si="30"/>
        <v>105</v>
      </c>
      <c r="H217">
        <f t="shared" ca="1" si="31"/>
        <v>105</v>
      </c>
      <c r="I217">
        <f t="shared" ca="1" si="24"/>
        <v>0</v>
      </c>
    </row>
    <row r="218" spans="1:9">
      <c r="A218">
        <f t="shared" si="25"/>
        <v>214</v>
      </c>
      <c r="B218">
        <f t="shared" ca="1" si="26"/>
        <v>9</v>
      </c>
      <c r="C218">
        <f t="shared" ca="1" si="27"/>
        <v>105</v>
      </c>
      <c r="D218">
        <f t="shared" ca="1" si="28"/>
        <v>114</v>
      </c>
      <c r="E218">
        <f ca="1">_xll.RiskBinomial($B$1,$B$2)</f>
        <v>91</v>
      </c>
      <c r="F218">
        <f t="shared" ca="1" si="29"/>
        <v>23</v>
      </c>
      <c r="G218">
        <f t="shared" ca="1" si="30"/>
        <v>91</v>
      </c>
      <c r="H218">
        <f t="shared" ca="1" si="31"/>
        <v>91</v>
      </c>
      <c r="I218">
        <f t="shared" ca="1" si="24"/>
        <v>0</v>
      </c>
    </row>
    <row r="219" spans="1:9">
      <c r="A219">
        <f t="shared" si="25"/>
        <v>215</v>
      </c>
      <c r="B219">
        <f t="shared" ca="1" si="26"/>
        <v>23</v>
      </c>
      <c r="C219">
        <f t="shared" ca="1" si="27"/>
        <v>91</v>
      </c>
      <c r="D219">
        <f t="shared" ca="1" si="28"/>
        <v>114</v>
      </c>
      <c r="E219">
        <f ca="1">_xll.RiskBinomial($B$1,$B$2)</f>
        <v>99</v>
      </c>
      <c r="F219">
        <f t="shared" ca="1" si="29"/>
        <v>15</v>
      </c>
      <c r="G219">
        <f t="shared" ca="1" si="30"/>
        <v>99</v>
      </c>
      <c r="H219">
        <f t="shared" ca="1" si="31"/>
        <v>99</v>
      </c>
      <c r="I219">
        <f t="shared" ca="1" si="24"/>
        <v>0</v>
      </c>
    </row>
    <row r="220" spans="1:9">
      <c r="A220">
        <f t="shared" si="25"/>
        <v>216</v>
      </c>
      <c r="B220">
        <f t="shared" ca="1" si="26"/>
        <v>15</v>
      </c>
      <c r="C220">
        <f t="shared" ca="1" si="27"/>
        <v>99</v>
      </c>
      <c r="D220">
        <f t="shared" ca="1" si="28"/>
        <v>114</v>
      </c>
      <c r="E220">
        <f ca="1">_xll.RiskBinomial($B$1,$B$2)</f>
        <v>97</v>
      </c>
      <c r="F220">
        <f t="shared" ca="1" si="29"/>
        <v>17</v>
      </c>
      <c r="G220">
        <f t="shared" ca="1" si="30"/>
        <v>97</v>
      </c>
      <c r="H220">
        <f t="shared" ca="1" si="31"/>
        <v>97</v>
      </c>
      <c r="I220">
        <f t="shared" ca="1" si="24"/>
        <v>0</v>
      </c>
    </row>
    <row r="221" spans="1:9">
      <c r="A221">
        <f t="shared" si="25"/>
        <v>217</v>
      </c>
      <c r="B221">
        <f t="shared" ca="1" si="26"/>
        <v>17</v>
      </c>
      <c r="C221">
        <f t="shared" ca="1" si="27"/>
        <v>97</v>
      </c>
      <c r="D221">
        <f t="shared" ca="1" si="28"/>
        <v>114</v>
      </c>
      <c r="E221">
        <f ca="1">_xll.RiskBinomial($B$1,$B$2)</f>
        <v>95</v>
      </c>
      <c r="F221">
        <f t="shared" ca="1" si="29"/>
        <v>19</v>
      </c>
      <c r="G221">
        <f t="shared" ca="1" si="30"/>
        <v>95</v>
      </c>
      <c r="H221">
        <f t="shared" ca="1" si="31"/>
        <v>95</v>
      </c>
      <c r="I221">
        <f t="shared" ca="1" si="24"/>
        <v>0</v>
      </c>
    </row>
    <row r="222" spans="1:9">
      <c r="A222">
        <f t="shared" si="25"/>
        <v>218</v>
      </c>
      <c r="B222">
        <f t="shared" ca="1" si="26"/>
        <v>19</v>
      </c>
      <c r="C222">
        <f t="shared" ca="1" si="27"/>
        <v>95</v>
      </c>
      <c r="D222">
        <f t="shared" ca="1" si="28"/>
        <v>114</v>
      </c>
      <c r="E222">
        <f ca="1">_xll.RiskBinomial($B$1,$B$2)</f>
        <v>109</v>
      </c>
      <c r="F222">
        <f t="shared" ca="1" si="29"/>
        <v>5</v>
      </c>
      <c r="G222">
        <f t="shared" ca="1" si="30"/>
        <v>109</v>
      </c>
      <c r="H222">
        <f t="shared" ca="1" si="31"/>
        <v>109</v>
      </c>
      <c r="I222">
        <f t="shared" ca="1" si="24"/>
        <v>0</v>
      </c>
    </row>
    <row r="223" spans="1:9">
      <c r="A223">
        <f t="shared" si="25"/>
        <v>219</v>
      </c>
      <c r="B223">
        <f t="shared" ca="1" si="26"/>
        <v>5</v>
      </c>
      <c r="C223">
        <f t="shared" ca="1" si="27"/>
        <v>109</v>
      </c>
      <c r="D223">
        <f t="shared" ca="1" si="28"/>
        <v>114</v>
      </c>
      <c r="E223">
        <f ca="1">_xll.RiskBinomial($B$1,$B$2)</f>
        <v>83</v>
      </c>
      <c r="F223">
        <f t="shared" ca="1" si="29"/>
        <v>31</v>
      </c>
      <c r="G223">
        <f t="shared" ca="1" si="30"/>
        <v>83</v>
      </c>
      <c r="H223">
        <f t="shared" ca="1" si="31"/>
        <v>83</v>
      </c>
      <c r="I223">
        <f t="shared" ca="1" si="24"/>
        <v>0</v>
      </c>
    </row>
    <row r="224" spans="1:9">
      <c r="A224">
        <f t="shared" si="25"/>
        <v>220</v>
      </c>
      <c r="B224">
        <f t="shared" ca="1" si="26"/>
        <v>31</v>
      </c>
      <c r="C224">
        <f t="shared" ca="1" si="27"/>
        <v>83</v>
      </c>
      <c r="D224">
        <f t="shared" ca="1" si="28"/>
        <v>114</v>
      </c>
      <c r="E224">
        <f ca="1">_xll.RiskBinomial($B$1,$B$2)</f>
        <v>103</v>
      </c>
      <c r="F224">
        <f t="shared" ca="1" si="29"/>
        <v>11</v>
      </c>
      <c r="G224">
        <f t="shared" ca="1" si="30"/>
        <v>103</v>
      </c>
      <c r="H224">
        <f t="shared" ca="1" si="31"/>
        <v>103</v>
      </c>
      <c r="I224">
        <f t="shared" ca="1" si="24"/>
        <v>0</v>
      </c>
    </row>
    <row r="225" spans="1:9">
      <c r="A225">
        <f t="shared" si="25"/>
        <v>221</v>
      </c>
      <c r="B225">
        <f t="shared" ca="1" si="26"/>
        <v>11</v>
      </c>
      <c r="C225">
        <f t="shared" ca="1" si="27"/>
        <v>103</v>
      </c>
      <c r="D225">
        <f t="shared" ca="1" si="28"/>
        <v>114</v>
      </c>
      <c r="E225">
        <f ca="1">_xll.RiskBinomial($B$1,$B$2)</f>
        <v>92</v>
      </c>
      <c r="F225">
        <f t="shared" ca="1" si="29"/>
        <v>22</v>
      </c>
      <c r="G225">
        <f t="shared" ca="1" si="30"/>
        <v>92</v>
      </c>
      <c r="H225">
        <f t="shared" ca="1" si="31"/>
        <v>92</v>
      </c>
      <c r="I225">
        <f t="shared" ca="1" si="24"/>
        <v>0</v>
      </c>
    </row>
    <row r="226" spans="1:9">
      <c r="A226">
        <f t="shared" si="25"/>
        <v>222</v>
      </c>
      <c r="B226">
        <f t="shared" ca="1" si="26"/>
        <v>22</v>
      </c>
      <c r="C226">
        <f t="shared" ca="1" si="27"/>
        <v>92</v>
      </c>
      <c r="D226">
        <f t="shared" ca="1" si="28"/>
        <v>114</v>
      </c>
      <c r="E226">
        <f ca="1">_xll.RiskBinomial($B$1,$B$2)</f>
        <v>89</v>
      </c>
      <c r="F226">
        <f t="shared" ca="1" si="29"/>
        <v>25</v>
      </c>
      <c r="G226">
        <f t="shared" ca="1" si="30"/>
        <v>89</v>
      </c>
      <c r="H226">
        <f t="shared" ca="1" si="31"/>
        <v>89</v>
      </c>
      <c r="I226">
        <f t="shared" ca="1" si="24"/>
        <v>0</v>
      </c>
    </row>
    <row r="227" spans="1:9">
      <c r="A227">
        <f t="shared" si="25"/>
        <v>223</v>
      </c>
      <c r="B227">
        <f t="shared" ca="1" si="26"/>
        <v>25</v>
      </c>
      <c r="C227">
        <f t="shared" ca="1" si="27"/>
        <v>89</v>
      </c>
      <c r="D227">
        <f t="shared" ca="1" si="28"/>
        <v>114</v>
      </c>
      <c r="E227">
        <f ca="1">_xll.RiskBinomial($B$1,$B$2)</f>
        <v>102</v>
      </c>
      <c r="F227">
        <f t="shared" ca="1" si="29"/>
        <v>12</v>
      </c>
      <c r="G227">
        <f t="shared" ca="1" si="30"/>
        <v>102</v>
      </c>
      <c r="H227">
        <f t="shared" ca="1" si="31"/>
        <v>102</v>
      </c>
      <c r="I227">
        <f t="shared" ca="1" si="24"/>
        <v>0</v>
      </c>
    </row>
    <row r="228" spans="1:9">
      <c r="A228">
        <f t="shared" si="25"/>
        <v>224</v>
      </c>
      <c r="B228">
        <f t="shared" ca="1" si="26"/>
        <v>12</v>
      </c>
      <c r="C228">
        <f t="shared" ca="1" si="27"/>
        <v>102</v>
      </c>
      <c r="D228">
        <f t="shared" ca="1" si="28"/>
        <v>114</v>
      </c>
      <c r="E228">
        <f ca="1">_xll.RiskBinomial($B$1,$B$2)</f>
        <v>101</v>
      </c>
      <c r="F228">
        <f t="shared" ca="1" si="29"/>
        <v>13</v>
      </c>
      <c r="G228">
        <f t="shared" ca="1" si="30"/>
        <v>101</v>
      </c>
      <c r="H228">
        <f t="shared" ca="1" si="31"/>
        <v>101</v>
      </c>
      <c r="I228">
        <f t="shared" ca="1" si="24"/>
        <v>0</v>
      </c>
    </row>
    <row r="229" spans="1:9">
      <c r="A229">
        <f t="shared" si="25"/>
        <v>225</v>
      </c>
      <c r="B229">
        <f t="shared" ca="1" si="26"/>
        <v>13</v>
      </c>
      <c r="C229">
        <f t="shared" ca="1" si="27"/>
        <v>101</v>
      </c>
      <c r="D229">
        <f t="shared" ca="1" si="28"/>
        <v>114</v>
      </c>
      <c r="E229">
        <f ca="1">_xll.RiskBinomial($B$1,$B$2)</f>
        <v>100</v>
      </c>
      <c r="F229">
        <f t="shared" ca="1" si="29"/>
        <v>14</v>
      </c>
      <c r="G229">
        <f t="shared" ca="1" si="30"/>
        <v>100</v>
      </c>
      <c r="H229">
        <f t="shared" ca="1" si="31"/>
        <v>100</v>
      </c>
      <c r="I229">
        <f t="shared" ca="1" si="24"/>
        <v>0</v>
      </c>
    </row>
    <row r="230" spans="1:9">
      <c r="A230">
        <f t="shared" si="25"/>
        <v>226</v>
      </c>
      <c r="B230">
        <f t="shared" ca="1" si="26"/>
        <v>14</v>
      </c>
      <c r="C230">
        <f t="shared" ca="1" si="27"/>
        <v>100</v>
      </c>
      <c r="D230">
        <f t="shared" ca="1" si="28"/>
        <v>114</v>
      </c>
      <c r="E230">
        <f ca="1">_xll.RiskBinomial($B$1,$B$2)</f>
        <v>89</v>
      </c>
      <c r="F230">
        <f t="shared" ca="1" si="29"/>
        <v>25</v>
      </c>
      <c r="G230">
        <f t="shared" ca="1" si="30"/>
        <v>89</v>
      </c>
      <c r="H230">
        <f t="shared" ca="1" si="31"/>
        <v>89</v>
      </c>
      <c r="I230">
        <f t="shared" ca="1" si="24"/>
        <v>0</v>
      </c>
    </row>
    <row r="231" spans="1:9">
      <c r="A231">
        <f t="shared" si="25"/>
        <v>227</v>
      </c>
      <c r="B231">
        <f t="shared" ca="1" si="26"/>
        <v>25</v>
      </c>
      <c r="C231">
        <f t="shared" ca="1" si="27"/>
        <v>89</v>
      </c>
      <c r="D231">
        <f t="shared" ca="1" si="28"/>
        <v>114</v>
      </c>
      <c r="E231">
        <f ca="1">_xll.RiskBinomial($B$1,$B$2)</f>
        <v>103</v>
      </c>
      <c r="F231">
        <f t="shared" ca="1" si="29"/>
        <v>11</v>
      </c>
      <c r="G231">
        <f t="shared" ca="1" si="30"/>
        <v>103</v>
      </c>
      <c r="H231">
        <f t="shared" ca="1" si="31"/>
        <v>103</v>
      </c>
      <c r="I231">
        <f t="shared" ca="1" si="24"/>
        <v>0</v>
      </c>
    </row>
    <row r="232" spans="1:9">
      <c r="A232">
        <f t="shared" si="25"/>
        <v>228</v>
      </c>
      <c r="B232">
        <f t="shared" ca="1" si="26"/>
        <v>11</v>
      </c>
      <c r="C232">
        <f t="shared" ca="1" si="27"/>
        <v>103</v>
      </c>
      <c r="D232">
        <f t="shared" ca="1" si="28"/>
        <v>114</v>
      </c>
      <c r="E232">
        <f ca="1">_xll.RiskBinomial($B$1,$B$2)</f>
        <v>91</v>
      </c>
      <c r="F232">
        <f t="shared" ca="1" si="29"/>
        <v>23</v>
      </c>
      <c r="G232">
        <f t="shared" ca="1" si="30"/>
        <v>91</v>
      </c>
      <c r="H232">
        <f t="shared" ca="1" si="31"/>
        <v>91</v>
      </c>
      <c r="I232">
        <f t="shared" ca="1" si="24"/>
        <v>0</v>
      </c>
    </row>
    <row r="233" spans="1:9">
      <c r="A233">
        <f t="shared" si="25"/>
        <v>229</v>
      </c>
      <c r="B233">
        <f t="shared" ca="1" si="26"/>
        <v>23</v>
      </c>
      <c r="C233">
        <f t="shared" ca="1" si="27"/>
        <v>91</v>
      </c>
      <c r="D233">
        <f t="shared" ca="1" si="28"/>
        <v>114</v>
      </c>
      <c r="E233">
        <f ca="1">_xll.RiskBinomial($B$1,$B$2)</f>
        <v>99</v>
      </c>
      <c r="F233">
        <f t="shared" ca="1" si="29"/>
        <v>15</v>
      </c>
      <c r="G233">
        <f t="shared" ca="1" si="30"/>
        <v>99</v>
      </c>
      <c r="H233">
        <f t="shared" ca="1" si="31"/>
        <v>99</v>
      </c>
      <c r="I233">
        <f t="shared" ca="1" si="24"/>
        <v>0</v>
      </c>
    </row>
    <row r="234" spans="1:9">
      <c r="A234">
        <f t="shared" si="25"/>
        <v>230</v>
      </c>
      <c r="B234">
        <f t="shared" ca="1" si="26"/>
        <v>15</v>
      </c>
      <c r="C234">
        <f t="shared" ca="1" si="27"/>
        <v>99</v>
      </c>
      <c r="D234">
        <f t="shared" ca="1" si="28"/>
        <v>114</v>
      </c>
      <c r="E234">
        <f ca="1">_xll.RiskBinomial($B$1,$B$2)</f>
        <v>97</v>
      </c>
      <c r="F234">
        <f t="shared" ca="1" si="29"/>
        <v>17</v>
      </c>
      <c r="G234">
        <f t="shared" ca="1" si="30"/>
        <v>97</v>
      </c>
      <c r="H234">
        <f t="shared" ca="1" si="31"/>
        <v>97</v>
      </c>
      <c r="I234">
        <f t="shared" ca="1" si="24"/>
        <v>0</v>
      </c>
    </row>
    <row r="235" spans="1:9">
      <c r="A235">
        <f t="shared" si="25"/>
        <v>231</v>
      </c>
      <c r="B235">
        <f t="shared" ca="1" si="26"/>
        <v>17</v>
      </c>
      <c r="C235">
        <f t="shared" ca="1" si="27"/>
        <v>97</v>
      </c>
      <c r="D235">
        <f t="shared" ca="1" si="28"/>
        <v>114</v>
      </c>
      <c r="E235">
        <f ca="1">_xll.RiskBinomial($B$1,$B$2)</f>
        <v>108</v>
      </c>
      <c r="F235">
        <f t="shared" ca="1" si="29"/>
        <v>6</v>
      </c>
      <c r="G235">
        <f t="shared" ca="1" si="30"/>
        <v>108</v>
      </c>
      <c r="H235">
        <f t="shared" ca="1" si="31"/>
        <v>108</v>
      </c>
      <c r="I235">
        <f t="shared" ca="1" si="24"/>
        <v>0</v>
      </c>
    </row>
    <row r="236" spans="1:9">
      <c r="A236">
        <f t="shared" si="25"/>
        <v>232</v>
      </c>
      <c r="B236">
        <f t="shared" ca="1" si="26"/>
        <v>6</v>
      </c>
      <c r="C236">
        <f t="shared" ca="1" si="27"/>
        <v>108</v>
      </c>
      <c r="D236">
        <f t="shared" ca="1" si="28"/>
        <v>114</v>
      </c>
      <c r="E236">
        <f ca="1">_xll.RiskBinomial($B$1,$B$2)</f>
        <v>104</v>
      </c>
      <c r="F236">
        <f t="shared" ca="1" si="29"/>
        <v>10</v>
      </c>
      <c r="G236">
        <f t="shared" ca="1" si="30"/>
        <v>104</v>
      </c>
      <c r="H236">
        <f t="shared" ca="1" si="31"/>
        <v>104</v>
      </c>
      <c r="I236">
        <f t="shared" ca="1" si="24"/>
        <v>0</v>
      </c>
    </row>
    <row r="237" spans="1:9">
      <c r="A237">
        <f t="shared" si="25"/>
        <v>233</v>
      </c>
      <c r="B237">
        <f t="shared" ca="1" si="26"/>
        <v>10</v>
      </c>
      <c r="C237">
        <f t="shared" ca="1" si="27"/>
        <v>104</v>
      </c>
      <c r="D237">
        <f t="shared" ca="1" si="28"/>
        <v>114</v>
      </c>
      <c r="E237">
        <f ca="1">_xll.RiskBinomial($B$1,$B$2)</f>
        <v>113</v>
      </c>
      <c r="F237">
        <f t="shared" ca="1" si="29"/>
        <v>1</v>
      </c>
      <c r="G237">
        <f t="shared" ca="1" si="30"/>
        <v>113</v>
      </c>
      <c r="H237">
        <f t="shared" ca="1" si="31"/>
        <v>110</v>
      </c>
      <c r="I237">
        <f t="shared" ca="1" si="24"/>
        <v>0</v>
      </c>
    </row>
    <row r="238" spans="1:9">
      <c r="A238">
        <f t="shared" si="25"/>
        <v>234</v>
      </c>
      <c r="B238">
        <f t="shared" ca="1" si="26"/>
        <v>1</v>
      </c>
      <c r="C238">
        <f t="shared" ca="1" si="27"/>
        <v>110</v>
      </c>
      <c r="D238">
        <f t="shared" ca="1" si="28"/>
        <v>111</v>
      </c>
      <c r="E238">
        <f ca="1">_xll.RiskBinomial($B$1,$B$2)</f>
        <v>88</v>
      </c>
      <c r="F238">
        <f t="shared" ca="1" si="29"/>
        <v>23</v>
      </c>
      <c r="G238">
        <f t="shared" ca="1" si="30"/>
        <v>91</v>
      </c>
      <c r="H238">
        <f t="shared" ca="1" si="31"/>
        <v>91</v>
      </c>
      <c r="I238">
        <f t="shared" ca="1" si="24"/>
        <v>0</v>
      </c>
    </row>
    <row r="239" spans="1:9">
      <c r="A239">
        <f t="shared" si="25"/>
        <v>235</v>
      </c>
      <c r="B239">
        <f t="shared" ca="1" si="26"/>
        <v>23</v>
      </c>
      <c r="C239">
        <f t="shared" ca="1" si="27"/>
        <v>91</v>
      </c>
      <c r="D239">
        <f t="shared" ca="1" si="28"/>
        <v>114</v>
      </c>
      <c r="E239">
        <f ca="1">_xll.RiskBinomial($B$1,$B$2)</f>
        <v>106</v>
      </c>
      <c r="F239">
        <f t="shared" ca="1" si="29"/>
        <v>8</v>
      </c>
      <c r="G239">
        <f t="shared" ca="1" si="30"/>
        <v>106</v>
      </c>
      <c r="H239">
        <f t="shared" ca="1" si="31"/>
        <v>106</v>
      </c>
      <c r="I239">
        <f t="shared" ca="1" si="24"/>
        <v>0</v>
      </c>
    </row>
    <row r="240" spans="1:9">
      <c r="A240">
        <f t="shared" si="25"/>
        <v>236</v>
      </c>
      <c r="B240">
        <f t="shared" ca="1" si="26"/>
        <v>8</v>
      </c>
      <c r="C240">
        <f t="shared" ca="1" si="27"/>
        <v>106</v>
      </c>
      <c r="D240">
        <f t="shared" ca="1" si="28"/>
        <v>114</v>
      </c>
      <c r="E240">
        <f ca="1">_xll.RiskBinomial($B$1,$B$2)</f>
        <v>92</v>
      </c>
      <c r="F240">
        <f t="shared" ca="1" si="29"/>
        <v>22</v>
      </c>
      <c r="G240">
        <f t="shared" ca="1" si="30"/>
        <v>92</v>
      </c>
      <c r="H240">
        <f t="shared" ca="1" si="31"/>
        <v>92</v>
      </c>
      <c r="I240">
        <f t="shared" ca="1" si="24"/>
        <v>0</v>
      </c>
    </row>
    <row r="241" spans="1:9">
      <c r="A241">
        <f t="shared" si="25"/>
        <v>237</v>
      </c>
      <c r="B241">
        <f t="shared" ca="1" si="26"/>
        <v>22</v>
      </c>
      <c r="C241">
        <f t="shared" ca="1" si="27"/>
        <v>92</v>
      </c>
      <c r="D241">
        <f t="shared" ca="1" si="28"/>
        <v>114</v>
      </c>
      <c r="E241">
        <f ca="1">_xll.RiskBinomial($B$1,$B$2)</f>
        <v>104</v>
      </c>
      <c r="F241">
        <f t="shared" ca="1" si="29"/>
        <v>10</v>
      </c>
      <c r="G241">
        <f t="shared" ca="1" si="30"/>
        <v>104</v>
      </c>
      <c r="H241">
        <f t="shared" ca="1" si="31"/>
        <v>104</v>
      </c>
      <c r="I241">
        <f t="shared" ca="1" si="24"/>
        <v>0</v>
      </c>
    </row>
    <row r="242" spans="1:9">
      <c r="A242">
        <f t="shared" si="25"/>
        <v>238</v>
      </c>
      <c r="B242">
        <f t="shared" ca="1" si="26"/>
        <v>10</v>
      </c>
      <c r="C242">
        <f t="shared" ca="1" si="27"/>
        <v>104</v>
      </c>
      <c r="D242">
        <f t="shared" ca="1" si="28"/>
        <v>114</v>
      </c>
      <c r="E242">
        <f ca="1">_xll.RiskBinomial($B$1,$B$2)</f>
        <v>102</v>
      </c>
      <c r="F242">
        <f t="shared" ca="1" si="29"/>
        <v>12</v>
      </c>
      <c r="G242">
        <f t="shared" ca="1" si="30"/>
        <v>102</v>
      </c>
      <c r="H242">
        <f t="shared" ca="1" si="31"/>
        <v>102</v>
      </c>
      <c r="I242">
        <f t="shared" ca="1" si="24"/>
        <v>0</v>
      </c>
    </row>
    <row r="243" spans="1:9">
      <c r="A243">
        <f t="shared" si="25"/>
        <v>239</v>
      </c>
      <c r="B243">
        <f t="shared" ca="1" si="26"/>
        <v>12</v>
      </c>
      <c r="C243">
        <f t="shared" ca="1" si="27"/>
        <v>102</v>
      </c>
      <c r="D243">
        <f t="shared" ca="1" si="28"/>
        <v>114</v>
      </c>
      <c r="E243">
        <f ca="1">_xll.RiskBinomial($B$1,$B$2)</f>
        <v>98</v>
      </c>
      <c r="F243">
        <f t="shared" ca="1" si="29"/>
        <v>16</v>
      </c>
      <c r="G243">
        <f t="shared" ca="1" si="30"/>
        <v>98</v>
      </c>
      <c r="H243">
        <f t="shared" ca="1" si="31"/>
        <v>98</v>
      </c>
      <c r="I243">
        <f t="shared" ca="1" si="24"/>
        <v>0</v>
      </c>
    </row>
    <row r="244" spans="1:9">
      <c r="A244">
        <f t="shared" si="25"/>
        <v>240</v>
      </c>
      <c r="B244">
        <f t="shared" ca="1" si="26"/>
        <v>16</v>
      </c>
      <c r="C244">
        <f t="shared" ca="1" si="27"/>
        <v>98</v>
      </c>
      <c r="D244">
        <f t="shared" ca="1" si="28"/>
        <v>114</v>
      </c>
      <c r="E244">
        <f ca="1">_xll.RiskBinomial($B$1,$B$2)</f>
        <v>111</v>
      </c>
      <c r="F244">
        <f t="shared" ca="1" si="29"/>
        <v>3</v>
      </c>
      <c r="G244">
        <f t="shared" ca="1" si="30"/>
        <v>111</v>
      </c>
      <c r="H244">
        <f t="shared" ca="1" si="31"/>
        <v>110</v>
      </c>
      <c r="I244">
        <f t="shared" ca="1" si="24"/>
        <v>0</v>
      </c>
    </row>
    <row r="245" spans="1:9">
      <c r="A245">
        <f t="shared" si="25"/>
        <v>241</v>
      </c>
      <c r="B245">
        <f t="shared" ca="1" si="26"/>
        <v>3</v>
      </c>
      <c r="C245">
        <f t="shared" ca="1" si="27"/>
        <v>110</v>
      </c>
      <c r="D245">
        <f t="shared" ca="1" si="28"/>
        <v>113</v>
      </c>
      <c r="E245">
        <f ca="1">_xll.RiskBinomial($B$1,$B$2)</f>
        <v>109</v>
      </c>
      <c r="F245">
        <f t="shared" ca="1" si="29"/>
        <v>4</v>
      </c>
      <c r="G245">
        <f t="shared" ca="1" si="30"/>
        <v>110</v>
      </c>
      <c r="H245">
        <f t="shared" ca="1" si="31"/>
        <v>110</v>
      </c>
      <c r="I245">
        <f t="shared" ca="1" si="24"/>
        <v>0</v>
      </c>
    </row>
    <row r="246" spans="1:9">
      <c r="A246">
        <f t="shared" si="25"/>
        <v>242</v>
      </c>
      <c r="B246">
        <f t="shared" ca="1" si="26"/>
        <v>4</v>
      </c>
      <c r="C246">
        <f t="shared" ca="1" si="27"/>
        <v>110</v>
      </c>
      <c r="D246">
        <f t="shared" ca="1" si="28"/>
        <v>114</v>
      </c>
      <c r="E246">
        <f ca="1">_xll.RiskBinomial($B$1,$B$2)</f>
        <v>100</v>
      </c>
      <c r="F246">
        <f t="shared" ca="1" si="29"/>
        <v>14</v>
      </c>
      <c r="G246">
        <f t="shared" ca="1" si="30"/>
        <v>100</v>
      </c>
      <c r="H246">
        <f t="shared" ca="1" si="31"/>
        <v>100</v>
      </c>
      <c r="I246">
        <f t="shared" ca="1" si="24"/>
        <v>0</v>
      </c>
    </row>
    <row r="247" spans="1:9">
      <c r="A247">
        <f t="shared" si="25"/>
        <v>243</v>
      </c>
      <c r="B247">
        <f t="shared" ca="1" si="26"/>
        <v>14</v>
      </c>
      <c r="C247">
        <f t="shared" ca="1" si="27"/>
        <v>100</v>
      </c>
      <c r="D247">
        <f t="shared" ca="1" si="28"/>
        <v>114</v>
      </c>
      <c r="E247">
        <f ca="1">_xll.RiskBinomial($B$1,$B$2)</f>
        <v>115</v>
      </c>
      <c r="F247">
        <f t="shared" ca="1" si="29"/>
        <v>-1</v>
      </c>
      <c r="G247">
        <f t="shared" ca="1" si="30"/>
        <v>115</v>
      </c>
      <c r="H247">
        <f t="shared" ca="1" si="31"/>
        <v>110</v>
      </c>
      <c r="I247">
        <f t="shared" ca="1" si="24"/>
        <v>1</v>
      </c>
    </row>
    <row r="248" spans="1:9">
      <c r="A248">
        <f t="shared" si="25"/>
        <v>244</v>
      </c>
      <c r="B248">
        <f t="shared" ca="1" si="26"/>
        <v>-1</v>
      </c>
      <c r="C248">
        <f t="shared" ca="1" si="27"/>
        <v>110</v>
      </c>
      <c r="D248">
        <f t="shared" ca="1" si="28"/>
        <v>109</v>
      </c>
      <c r="E248">
        <f ca="1">_xll.RiskBinomial($B$1,$B$2)</f>
        <v>86</v>
      </c>
      <c r="F248">
        <f t="shared" ca="1" si="29"/>
        <v>23</v>
      </c>
      <c r="G248">
        <f t="shared" ca="1" si="30"/>
        <v>91</v>
      </c>
      <c r="H248">
        <f t="shared" ca="1" si="31"/>
        <v>91</v>
      </c>
      <c r="I248">
        <f t="shared" ca="1" si="24"/>
        <v>0</v>
      </c>
    </row>
    <row r="249" spans="1:9">
      <c r="A249">
        <f t="shared" si="25"/>
        <v>245</v>
      </c>
      <c r="B249">
        <f t="shared" ca="1" si="26"/>
        <v>23</v>
      </c>
      <c r="C249">
        <f t="shared" ca="1" si="27"/>
        <v>91</v>
      </c>
      <c r="D249">
        <f t="shared" ca="1" si="28"/>
        <v>114</v>
      </c>
      <c r="E249">
        <f ca="1">_xll.RiskBinomial($B$1,$B$2)</f>
        <v>96</v>
      </c>
      <c r="F249">
        <f t="shared" ca="1" si="29"/>
        <v>18</v>
      </c>
      <c r="G249">
        <f t="shared" ca="1" si="30"/>
        <v>96</v>
      </c>
      <c r="H249">
        <f t="shared" ca="1" si="31"/>
        <v>96</v>
      </c>
      <c r="I249">
        <f t="shared" ca="1" si="24"/>
        <v>0</v>
      </c>
    </row>
    <row r="250" spans="1:9">
      <c r="A250">
        <f t="shared" si="25"/>
        <v>246</v>
      </c>
      <c r="B250">
        <f t="shared" ca="1" si="26"/>
        <v>18</v>
      </c>
      <c r="C250">
        <f t="shared" ca="1" si="27"/>
        <v>96</v>
      </c>
      <c r="D250">
        <f t="shared" ca="1" si="28"/>
        <v>114</v>
      </c>
      <c r="E250">
        <f ca="1">_xll.RiskBinomial($B$1,$B$2)</f>
        <v>104</v>
      </c>
      <c r="F250">
        <f t="shared" ca="1" si="29"/>
        <v>10</v>
      </c>
      <c r="G250">
        <f t="shared" ca="1" si="30"/>
        <v>104</v>
      </c>
      <c r="H250">
        <f t="shared" ca="1" si="31"/>
        <v>104</v>
      </c>
      <c r="I250">
        <f t="shared" ca="1" si="24"/>
        <v>0</v>
      </c>
    </row>
    <row r="251" spans="1:9">
      <c r="A251">
        <f t="shared" si="25"/>
        <v>247</v>
      </c>
      <c r="B251">
        <f t="shared" ca="1" si="26"/>
        <v>10</v>
      </c>
      <c r="C251">
        <f t="shared" ca="1" si="27"/>
        <v>104</v>
      </c>
      <c r="D251">
        <f t="shared" ca="1" si="28"/>
        <v>114</v>
      </c>
      <c r="E251">
        <f ca="1">_xll.RiskBinomial($B$1,$B$2)</f>
        <v>103</v>
      </c>
      <c r="F251">
        <f t="shared" ca="1" si="29"/>
        <v>11</v>
      </c>
      <c r="G251">
        <f t="shared" ca="1" si="30"/>
        <v>103</v>
      </c>
      <c r="H251">
        <f t="shared" ca="1" si="31"/>
        <v>103</v>
      </c>
      <c r="I251">
        <f t="shared" ca="1" si="24"/>
        <v>0</v>
      </c>
    </row>
    <row r="252" spans="1:9">
      <c r="A252">
        <f t="shared" si="25"/>
        <v>248</v>
      </c>
      <c r="B252">
        <f t="shared" ca="1" si="26"/>
        <v>11</v>
      </c>
      <c r="C252">
        <f t="shared" ca="1" si="27"/>
        <v>103</v>
      </c>
      <c r="D252">
        <f t="shared" ca="1" si="28"/>
        <v>114</v>
      </c>
      <c r="E252">
        <f ca="1">_xll.RiskBinomial($B$1,$B$2)</f>
        <v>109</v>
      </c>
      <c r="F252">
        <f t="shared" ca="1" si="29"/>
        <v>5</v>
      </c>
      <c r="G252">
        <f t="shared" ca="1" si="30"/>
        <v>109</v>
      </c>
      <c r="H252">
        <f t="shared" ca="1" si="31"/>
        <v>109</v>
      </c>
      <c r="I252">
        <f t="shared" ca="1" si="24"/>
        <v>0</v>
      </c>
    </row>
    <row r="253" spans="1:9">
      <c r="A253">
        <f t="shared" si="25"/>
        <v>249</v>
      </c>
      <c r="B253">
        <f t="shared" ca="1" si="26"/>
        <v>5</v>
      </c>
      <c r="C253">
        <f t="shared" ca="1" si="27"/>
        <v>109</v>
      </c>
      <c r="D253">
        <f t="shared" ca="1" si="28"/>
        <v>114</v>
      </c>
      <c r="E253">
        <f ca="1">_xll.RiskBinomial($B$1,$B$2)</f>
        <v>94</v>
      </c>
      <c r="F253">
        <f t="shared" ca="1" si="29"/>
        <v>20</v>
      </c>
      <c r="G253">
        <f t="shared" ca="1" si="30"/>
        <v>94</v>
      </c>
      <c r="H253">
        <f t="shared" ca="1" si="31"/>
        <v>94</v>
      </c>
      <c r="I253">
        <f t="shared" ca="1" si="24"/>
        <v>0</v>
      </c>
    </row>
    <row r="254" spans="1:9">
      <c r="A254">
        <f t="shared" si="25"/>
        <v>250</v>
      </c>
      <c r="B254">
        <f t="shared" ca="1" si="26"/>
        <v>20</v>
      </c>
      <c r="C254">
        <f t="shared" ca="1" si="27"/>
        <v>94</v>
      </c>
      <c r="D254">
        <f t="shared" ca="1" si="28"/>
        <v>114</v>
      </c>
      <c r="E254">
        <f ca="1">_xll.RiskBinomial($B$1,$B$2)</f>
        <v>98</v>
      </c>
      <c r="F254">
        <f t="shared" ca="1" si="29"/>
        <v>16</v>
      </c>
      <c r="G254">
        <f t="shared" ca="1" si="30"/>
        <v>98</v>
      </c>
      <c r="H254">
        <f t="shared" ca="1" si="31"/>
        <v>98</v>
      </c>
      <c r="I254">
        <f t="shared" ca="1" si="24"/>
        <v>0</v>
      </c>
    </row>
    <row r="255" spans="1:9">
      <c r="A255">
        <f t="shared" si="25"/>
        <v>251</v>
      </c>
      <c r="B255">
        <f t="shared" ca="1" si="26"/>
        <v>16</v>
      </c>
      <c r="C255">
        <f t="shared" ca="1" si="27"/>
        <v>98</v>
      </c>
      <c r="D255">
        <f t="shared" ca="1" si="28"/>
        <v>114</v>
      </c>
      <c r="E255">
        <f ca="1">_xll.RiskBinomial($B$1,$B$2)</f>
        <v>78</v>
      </c>
      <c r="F255">
        <f t="shared" ca="1" si="29"/>
        <v>36</v>
      </c>
      <c r="G255">
        <f t="shared" ca="1" si="30"/>
        <v>78</v>
      </c>
      <c r="H255">
        <f t="shared" ca="1" si="31"/>
        <v>78</v>
      </c>
      <c r="I255">
        <f t="shared" ca="1" si="24"/>
        <v>0</v>
      </c>
    </row>
    <row r="256" spans="1:9">
      <c r="A256">
        <f t="shared" si="25"/>
        <v>252</v>
      </c>
      <c r="B256">
        <f t="shared" ca="1" si="26"/>
        <v>36</v>
      </c>
      <c r="C256">
        <f t="shared" ca="1" si="27"/>
        <v>78</v>
      </c>
      <c r="D256">
        <f t="shared" ca="1" si="28"/>
        <v>114</v>
      </c>
      <c r="E256">
        <f ca="1">_xll.RiskBinomial($B$1,$B$2)</f>
        <v>90</v>
      </c>
      <c r="F256">
        <f t="shared" ca="1" si="29"/>
        <v>24</v>
      </c>
      <c r="G256">
        <f t="shared" ca="1" si="30"/>
        <v>90</v>
      </c>
      <c r="H256">
        <f t="shared" ca="1" si="31"/>
        <v>90</v>
      </c>
      <c r="I256">
        <f t="shared" ca="1" si="24"/>
        <v>0</v>
      </c>
    </row>
    <row r="257" spans="1:9">
      <c r="A257">
        <f t="shared" si="25"/>
        <v>253</v>
      </c>
      <c r="B257">
        <f t="shared" ca="1" si="26"/>
        <v>24</v>
      </c>
      <c r="C257">
        <f t="shared" ca="1" si="27"/>
        <v>90</v>
      </c>
      <c r="D257">
        <f t="shared" ca="1" si="28"/>
        <v>114</v>
      </c>
      <c r="E257">
        <f ca="1">_xll.RiskBinomial($B$1,$B$2)</f>
        <v>86</v>
      </c>
      <c r="F257">
        <f t="shared" ca="1" si="29"/>
        <v>28</v>
      </c>
      <c r="G257">
        <f t="shared" ca="1" si="30"/>
        <v>86</v>
      </c>
      <c r="H257">
        <f t="shared" ca="1" si="31"/>
        <v>86</v>
      </c>
      <c r="I257">
        <f t="shared" ca="1" si="24"/>
        <v>0</v>
      </c>
    </row>
    <row r="258" spans="1:9">
      <c r="A258">
        <f t="shared" si="25"/>
        <v>254</v>
      </c>
      <c r="B258">
        <f t="shared" ca="1" si="26"/>
        <v>28</v>
      </c>
      <c r="C258">
        <f t="shared" ca="1" si="27"/>
        <v>86</v>
      </c>
      <c r="D258">
        <f t="shared" ca="1" si="28"/>
        <v>114</v>
      </c>
      <c r="E258">
        <f ca="1">_xll.RiskBinomial($B$1,$B$2)</f>
        <v>105</v>
      </c>
      <c r="F258">
        <f t="shared" ca="1" si="29"/>
        <v>9</v>
      </c>
      <c r="G258">
        <f t="shared" ca="1" si="30"/>
        <v>105</v>
      </c>
      <c r="H258">
        <f t="shared" ca="1" si="31"/>
        <v>105</v>
      </c>
      <c r="I258">
        <f t="shared" ca="1" si="24"/>
        <v>0</v>
      </c>
    </row>
    <row r="259" spans="1:9">
      <c r="A259">
        <f t="shared" si="25"/>
        <v>255</v>
      </c>
      <c r="B259">
        <f t="shared" ca="1" si="26"/>
        <v>9</v>
      </c>
      <c r="C259">
        <f t="shared" ca="1" si="27"/>
        <v>105</v>
      </c>
      <c r="D259">
        <f t="shared" ca="1" si="28"/>
        <v>114</v>
      </c>
      <c r="E259">
        <f ca="1">_xll.RiskBinomial($B$1,$B$2)</f>
        <v>103</v>
      </c>
      <c r="F259">
        <f t="shared" ca="1" si="29"/>
        <v>11</v>
      </c>
      <c r="G259">
        <f t="shared" ca="1" si="30"/>
        <v>103</v>
      </c>
      <c r="H259">
        <f t="shared" ca="1" si="31"/>
        <v>103</v>
      </c>
      <c r="I259">
        <f t="shared" ca="1" si="24"/>
        <v>0</v>
      </c>
    </row>
    <row r="260" spans="1:9">
      <c r="A260">
        <f t="shared" si="25"/>
        <v>256</v>
      </c>
      <c r="B260">
        <f t="shared" ca="1" si="26"/>
        <v>11</v>
      </c>
      <c r="C260">
        <f t="shared" ca="1" si="27"/>
        <v>103</v>
      </c>
      <c r="D260">
        <f t="shared" ca="1" si="28"/>
        <v>114</v>
      </c>
      <c r="E260">
        <f ca="1">_xll.RiskBinomial($B$1,$B$2)</f>
        <v>106</v>
      </c>
      <c r="F260">
        <f t="shared" ca="1" si="29"/>
        <v>8</v>
      </c>
      <c r="G260">
        <f t="shared" ca="1" si="30"/>
        <v>106</v>
      </c>
      <c r="H260">
        <f t="shared" ca="1" si="31"/>
        <v>106</v>
      </c>
      <c r="I260">
        <f t="shared" ca="1" si="24"/>
        <v>0</v>
      </c>
    </row>
    <row r="261" spans="1:9">
      <c r="A261">
        <f t="shared" si="25"/>
        <v>257</v>
      </c>
      <c r="B261">
        <f t="shared" ca="1" si="26"/>
        <v>8</v>
      </c>
      <c r="C261">
        <f t="shared" ca="1" si="27"/>
        <v>106</v>
      </c>
      <c r="D261">
        <f t="shared" ca="1" si="28"/>
        <v>114</v>
      </c>
      <c r="E261">
        <f ca="1">_xll.RiskBinomial($B$1,$B$2)</f>
        <v>104</v>
      </c>
      <c r="F261">
        <f t="shared" ca="1" si="29"/>
        <v>10</v>
      </c>
      <c r="G261">
        <f t="shared" ca="1" si="30"/>
        <v>104</v>
      </c>
      <c r="H261">
        <f t="shared" ca="1" si="31"/>
        <v>104</v>
      </c>
      <c r="I261">
        <f t="shared" ca="1" si="24"/>
        <v>0</v>
      </c>
    </row>
    <row r="262" spans="1:9">
      <c r="A262">
        <f t="shared" si="25"/>
        <v>258</v>
      </c>
      <c r="B262">
        <f t="shared" ca="1" si="26"/>
        <v>10</v>
      </c>
      <c r="C262">
        <f t="shared" ca="1" si="27"/>
        <v>104</v>
      </c>
      <c r="D262">
        <f t="shared" ca="1" si="28"/>
        <v>114</v>
      </c>
      <c r="E262">
        <f ca="1">_xll.RiskBinomial($B$1,$B$2)</f>
        <v>91</v>
      </c>
      <c r="F262">
        <f t="shared" ca="1" si="29"/>
        <v>23</v>
      </c>
      <c r="G262">
        <f t="shared" ca="1" si="30"/>
        <v>91</v>
      </c>
      <c r="H262">
        <f t="shared" ca="1" si="31"/>
        <v>91</v>
      </c>
      <c r="I262">
        <f t="shared" ref="I262:I325" ca="1" si="32">IF(F262&lt;0,1,0)</f>
        <v>0</v>
      </c>
    </row>
    <row r="263" spans="1:9">
      <c r="A263">
        <f t="shared" ref="A263:A326" si="33">A262+1</f>
        <v>259</v>
      </c>
      <c r="B263">
        <f t="shared" ref="B263:B326" ca="1" si="34">F262</f>
        <v>23</v>
      </c>
      <c r="C263">
        <f t="shared" ref="C263:C326" ca="1" si="35">H262</f>
        <v>91</v>
      </c>
      <c r="D263">
        <f t="shared" ref="D263:D326" ca="1" si="36">B263+C263</f>
        <v>114</v>
      </c>
      <c r="E263">
        <f ca="1">_xll.RiskBinomial($B$1,$B$2)</f>
        <v>110</v>
      </c>
      <c r="F263">
        <f t="shared" ref="F263:F326" ca="1" si="37">D263-E263</f>
        <v>4</v>
      </c>
      <c r="G263">
        <f t="shared" ref="G263:G326" ca="1" si="38">$H$1-F263</f>
        <v>110</v>
      </c>
      <c r="H263">
        <f t="shared" ref="H263:H326" ca="1" si="39">MIN(G263,$H$2)</f>
        <v>110</v>
      </c>
      <c r="I263">
        <f t="shared" ca="1" si="32"/>
        <v>0</v>
      </c>
    </row>
    <row r="264" spans="1:9">
      <c r="A264">
        <f t="shared" si="33"/>
        <v>260</v>
      </c>
      <c r="B264">
        <f t="shared" ca="1" si="34"/>
        <v>4</v>
      </c>
      <c r="C264">
        <f t="shared" ca="1" si="35"/>
        <v>110</v>
      </c>
      <c r="D264">
        <f t="shared" ca="1" si="36"/>
        <v>114</v>
      </c>
      <c r="E264">
        <f ca="1">_xll.RiskBinomial($B$1,$B$2)</f>
        <v>96</v>
      </c>
      <c r="F264">
        <f t="shared" ca="1" si="37"/>
        <v>18</v>
      </c>
      <c r="G264">
        <f t="shared" ca="1" si="38"/>
        <v>96</v>
      </c>
      <c r="H264">
        <f t="shared" ca="1" si="39"/>
        <v>96</v>
      </c>
      <c r="I264">
        <f t="shared" ca="1" si="32"/>
        <v>0</v>
      </c>
    </row>
    <row r="265" spans="1:9">
      <c r="A265">
        <f t="shared" si="33"/>
        <v>261</v>
      </c>
      <c r="B265">
        <f t="shared" ca="1" si="34"/>
        <v>18</v>
      </c>
      <c r="C265">
        <f t="shared" ca="1" si="35"/>
        <v>96</v>
      </c>
      <c r="D265">
        <f t="shared" ca="1" si="36"/>
        <v>114</v>
      </c>
      <c r="E265">
        <f ca="1">_xll.RiskBinomial($B$1,$B$2)</f>
        <v>103</v>
      </c>
      <c r="F265">
        <f t="shared" ca="1" si="37"/>
        <v>11</v>
      </c>
      <c r="G265">
        <f t="shared" ca="1" si="38"/>
        <v>103</v>
      </c>
      <c r="H265">
        <f t="shared" ca="1" si="39"/>
        <v>103</v>
      </c>
      <c r="I265">
        <f t="shared" ca="1" si="32"/>
        <v>0</v>
      </c>
    </row>
    <row r="266" spans="1:9">
      <c r="A266">
        <f t="shared" si="33"/>
        <v>262</v>
      </c>
      <c r="B266">
        <f t="shared" ca="1" si="34"/>
        <v>11</v>
      </c>
      <c r="C266">
        <f t="shared" ca="1" si="35"/>
        <v>103</v>
      </c>
      <c r="D266">
        <f t="shared" ca="1" si="36"/>
        <v>114</v>
      </c>
      <c r="E266">
        <f ca="1">_xll.RiskBinomial($B$1,$B$2)</f>
        <v>106</v>
      </c>
      <c r="F266">
        <f t="shared" ca="1" si="37"/>
        <v>8</v>
      </c>
      <c r="G266">
        <f t="shared" ca="1" si="38"/>
        <v>106</v>
      </c>
      <c r="H266">
        <f t="shared" ca="1" si="39"/>
        <v>106</v>
      </c>
      <c r="I266">
        <f t="shared" ca="1" si="32"/>
        <v>0</v>
      </c>
    </row>
    <row r="267" spans="1:9">
      <c r="A267">
        <f t="shared" si="33"/>
        <v>263</v>
      </c>
      <c r="B267">
        <f t="shared" ca="1" si="34"/>
        <v>8</v>
      </c>
      <c r="C267">
        <f t="shared" ca="1" si="35"/>
        <v>106</v>
      </c>
      <c r="D267">
        <f t="shared" ca="1" si="36"/>
        <v>114</v>
      </c>
      <c r="E267">
        <f ca="1">_xll.RiskBinomial($B$1,$B$2)</f>
        <v>94</v>
      </c>
      <c r="F267">
        <f t="shared" ca="1" si="37"/>
        <v>20</v>
      </c>
      <c r="G267">
        <f t="shared" ca="1" si="38"/>
        <v>94</v>
      </c>
      <c r="H267">
        <f t="shared" ca="1" si="39"/>
        <v>94</v>
      </c>
      <c r="I267">
        <f t="shared" ca="1" si="32"/>
        <v>0</v>
      </c>
    </row>
    <row r="268" spans="1:9">
      <c r="A268">
        <f t="shared" si="33"/>
        <v>264</v>
      </c>
      <c r="B268">
        <f t="shared" ca="1" si="34"/>
        <v>20</v>
      </c>
      <c r="C268">
        <f t="shared" ca="1" si="35"/>
        <v>94</v>
      </c>
      <c r="D268">
        <f t="shared" ca="1" si="36"/>
        <v>114</v>
      </c>
      <c r="E268">
        <f ca="1">_xll.RiskBinomial($B$1,$B$2)</f>
        <v>90</v>
      </c>
      <c r="F268">
        <f t="shared" ca="1" si="37"/>
        <v>24</v>
      </c>
      <c r="G268">
        <f t="shared" ca="1" si="38"/>
        <v>90</v>
      </c>
      <c r="H268">
        <f t="shared" ca="1" si="39"/>
        <v>90</v>
      </c>
      <c r="I268">
        <f t="shared" ca="1" si="32"/>
        <v>0</v>
      </c>
    </row>
    <row r="269" spans="1:9">
      <c r="A269">
        <f t="shared" si="33"/>
        <v>265</v>
      </c>
      <c r="B269">
        <f t="shared" ca="1" si="34"/>
        <v>24</v>
      </c>
      <c r="C269">
        <f t="shared" ca="1" si="35"/>
        <v>90</v>
      </c>
      <c r="D269">
        <f t="shared" ca="1" si="36"/>
        <v>114</v>
      </c>
      <c r="E269">
        <f ca="1">_xll.RiskBinomial($B$1,$B$2)</f>
        <v>105</v>
      </c>
      <c r="F269">
        <f t="shared" ca="1" si="37"/>
        <v>9</v>
      </c>
      <c r="G269">
        <f t="shared" ca="1" si="38"/>
        <v>105</v>
      </c>
      <c r="H269">
        <f t="shared" ca="1" si="39"/>
        <v>105</v>
      </c>
      <c r="I269">
        <f t="shared" ca="1" si="32"/>
        <v>0</v>
      </c>
    </row>
    <row r="270" spans="1:9">
      <c r="A270">
        <f t="shared" si="33"/>
        <v>266</v>
      </c>
      <c r="B270">
        <f t="shared" ca="1" si="34"/>
        <v>9</v>
      </c>
      <c r="C270">
        <f t="shared" ca="1" si="35"/>
        <v>105</v>
      </c>
      <c r="D270">
        <f t="shared" ca="1" si="36"/>
        <v>114</v>
      </c>
      <c r="E270">
        <f ca="1">_xll.RiskBinomial($B$1,$B$2)</f>
        <v>89</v>
      </c>
      <c r="F270">
        <f t="shared" ca="1" si="37"/>
        <v>25</v>
      </c>
      <c r="G270">
        <f t="shared" ca="1" si="38"/>
        <v>89</v>
      </c>
      <c r="H270">
        <f t="shared" ca="1" si="39"/>
        <v>89</v>
      </c>
      <c r="I270">
        <f t="shared" ca="1" si="32"/>
        <v>0</v>
      </c>
    </row>
    <row r="271" spans="1:9">
      <c r="A271">
        <f t="shared" si="33"/>
        <v>267</v>
      </c>
      <c r="B271">
        <f t="shared" ca="1" si="34"/>
        <v>25</v>
      </c>
      <c r="C271">
        <f t="shared" ca="1" si="35"/>
        <v>89</v>
      </c>
      <c r="D271">
        <f t="shared" ca="1" si="36"/>
        <v>114</v>
      </c>
      <c r="E271">
        <f ca="1">_xll.RiskBinomial($B$1,$B$2)</f>
        <v>109</v>
      </c>
      <c r="F271">
        <f t="shared" ca="1" si="37"/>
        <v>5</v>
      </c>
      <c r="G271">
        <f t="shared" ca="1" si="38"/>
        <v>109</v>
      </c>
      <c r="H271">
        <f t="shared" ca="1" si="39"/>
        <v>109</v>
      </c>
      <c r="I271">
        <f t="shared" ca="1" si="32"/>
        <v>0</v>
      </c>
    </row>
    <row r="272" spans="1:9">
      <c r="A272">
        <f t="shared" si="33"/>
        <v>268</v>
      </c>
      <c r="B272">
        <f t="shared" ca="1" si="34"/>
        <v>5</v>
      </c>
      <c r="C272">
        <f t="shared" ca="1" si="35"/>
        <v>109</v>
      </c>
      <c r="D272">
        <f t="shared" ca="1" si="36"/>
        <v>114</v>
      </c>
      <c r="E272">
        <f ca="1">_xll.RiskBinomial($B$1,$B$2)</f>
        <v>113</v>
      </c>
      <c r="F272">
        <f t="shared" ca="1" si="37"/>
        <v>1</v>
      </c>
      <c r="G272">
        <f t="shared" ca="1" si="38"/>
        <v>113</v>
      </c>
      <c r="H272">
        <f t="shared" ca="1" si="39"/>
        <v>110</v>
      </c>
      <c r="I272">
        <f t="shared" ca="1" si="32"/>
        <v>0</v>
      </c>
    </row>
    <row r="273" spans="1:9">
      <c r="A273">
        <f t="shared" si="33"/>
        <v>269</v>
      </c>
      <c r="B273">
        <f t="shared" ca="1" si="34"/>
        <v>1</v>
      </c>
      <c r="C273">
        <f t="shared" ca="1" si="35"/>
        <v>110</v>
      </c>
      <c r="D273">
        <f t="shared" ca="1" si="36"/>
        <v>111</v>
      </c>
      <c r="E273">
        <f ca="1">_xll.RiskBinomial($B$1,$B$2)</f>
        <v>105</v>
      </c>
      <c r="F273">
        <f t="shared" ca="1" si="37"/>
        <v>6</v>
      </c>
      <c r="G273">
        <f t="shared" ca="1" si="38"/>
        <v>108</v>
      </c>
      <c r="H273">
        <f t="shared" ca="1" si="39"/>
        <v>108</v>
      </c>
      <c r="I273">
        <f t="shared" ca="1" si="32"/>
        <v>0</v>
      </c>
    </row>
    <row r="274" spans="1:9">
      <c r="A274">
        <f t="shared" si="33"/>
        <v>270</v>
      </c>
      <c r="B274">
        <f t="shared" ca="1" si="34"/>
        <v>6</v>
      </c>
      <c r="C274">
        <f t="shared" ca="1" si="35"/>
        <v>108</v>
      </c>
      <c r="D274">
        <f t="shared" ca="1" si="36"/>
        <v>114</v>
      </c>
      <c r="E274">
        <f ca="1">_xll.RiskBinomial($B$1,$B$2)</f>
        <v>102</v>
      </c>
      <c r="F274">
        <f t="shared" ca="1" si="37"/>
        <v>12</v>
      </c>
      <c r="G274">
        <f t="shared" ca="1" si="38"/>
        <v>102</v>
      </c>
      <c r="H274">
        <f t="shared" ca="1" si="39"/>
        <v>102</v>
      </c>
      <c r="I274">
        <f t="shared" ca="1" si="32"/>
        <v>0</v>
      </c>
    </row>
    <row r="275" spans="1:9">
      <c r="A275">
        <f t="shared" si="33"/>
        <v>271</v>
      </c>
      <c r="B275">
        <f t="shared" ca="1" si="34"/>
        <v>12</v>
      </c>
      <c r="C275">
        <f t="shared" ca="1" si="35"/>
        <v>102</v>
      </c>
      <c r="D275">
        <f t="shared" ca="1" si="36"/>
        <v>114</v>
      </c>
      <c r="E275">
        <f ca="1">_xll.RiskBinomial($B$1,$B$2)</f>
        <v>100</v>
      </c>
      <c r="F275">
        <f t="shared" ca="1" si="37"/>
        <v>14</v>
      </c>
      <c r="G275">
        <f t="shared" ca="1" si="38"/>
        <v>100</v>
      </c>
      <c r="H275">
        <f t="shared" ca="1" si="39"/>
        <v>100</v>
      </c>
      <c r="I275">
        <f t="shared" ca="1" si="32"/>
        <v>0</v>
      </c>
    </row>
    <row r="276" spans="1:9">
      <c r="A276">
        <f t="shared" si="33"/>
        <v>272</v>
      </c>
      <c r="B276">
        <f t="shared" ca="1" si="34"/>
        <v>14</v>
      </c>
      <c r="C276">
        <f t="shared" ca="1" si="35"/>
        <v>100</v>
      </c>
      <c r="D276">
        <f t="shared" ca="1" si="36"/>
        <v>114</v>
      </c>
      <c r="E276">
        <f ca="1">_xll.RiskBinomial($B$1,$B$2)</f>
        <v>110</v>
      </c>
      <c r="F276">
        <f t="shared" ca="1" si="37"/>
        <v>4</v>
      </c>
      <c r="G276">
        <f t="shared" ca="1" si="38"/>
        <v>110</v>
      </c>
      <c r="H276">
        <f t="shared" ca="1" si="39"/>
        <v>110</v>
      </c>
      <c r="I276">
        <f t="shared" ca="1" si="32"/>
        <v>0</v>
      </c>
    </row>
    <row r="277" spans="1:9">
      <c r="A277">
        <f t="shared" si="33"/>
        <v>273</v>
      </c>
      <c r="B277">
        <f t="shared" ca="1" si="34"/>
        <v>4</v>
      </c>
      <c r="C277">
        <f t="shared" ca="1" si="35"/>
        <v>110</v>
      </c>
      <c r="D277">
        <f t="shared" ca="1" si="36"/>
        <v>114</v>
      </c>
      <c r="E277">
        <f ca="1">_xll.RiskBinomial($B$1,$B$2)</f>
        <v>105</v>
      </c>
      <c r="F277">
        <f t="shared" ca="1" si="37"/>
        <v>9</v>
      </c>
      <c r="G277">
        <f t="shared" ca="1" si="38"/>
        <v>105</v>
      </c>
      <c r="H277">
        <f t="shared" ca="1" si="39"/>
        <v>105</v>
      </c>
      <c r="I277">
        <f t="shared" ca="1" si="32"/>
        <v>0</v>
      </c>
    </row>
    <row r="278" spans="1:9">
      <c r="A278">
        <f t="shared" si="33"/>
        <v>274</v>
      </c>
      <c r="B278">
        <f t="shared" ca="1" si="34"/>
        <v>9</v>
      </c>
      <c r="C278">
        <f t="shared" ca="1" si="35"/>
        <v>105</v>
      </c>
      <c r="D278">
        <f t="shared" ca="1" si="36"/>
        <v>114</v>
      </c>
      <c r="E278">
        <f ca="1">_xll.RiskBinomial($B$1,$B$2)</f>
        <v>106</v>
      </c>
      <c r="F278">
        <f t="shared" ca="1" si="37"/>
        <v>8</v>
      </c>
      <c r="G278">
        <f t="shared" ca="1" si="38"/>
        <v>106</v>
      </c>
      <c r="H278">
        <f t="shared" ca="1" si="39"/>
        <v>106</v>
      </c>
      <c r="I278">
        <f t="shared" ca="1" si="32"/>
        <v>0</v>
      </c>
    </row>
    <row r="279" spans="1:9">
      <c r="A279">
        <f t="shared" si="33"/>
        <v>275</v>
      </c>
      <c r="B279">
        <f t="shared" ca="1" si="34"/>
        <v>8</v>
      </c>
      <c r="C279">
        <f t="shared" ca="1" si="35"/>
        <v>106</v>
      </c>
      <c r="D279">
        <f t="shared" ca="1" si="36"/>
        <v>114</v>
      </c>
      <c r="E279">
        <f ca="1">_xll.RiskBinomial($B$1,$B$2)</f>
        <v>96</v>
      </c>
      <c r="F279">
        <f t="shared" ca="1" si="37"/>
        <v>18</v>
      </c>
      <c r="G279">
        <f t="shared" ca="1" si="38"/>
        <v>96</v>
      </c>
      <c r="H279">
        <f t="shared" ca="1" si="39"/>
        <v>96</v>
      </c>
      <c r="I279">
        <f t="shared" ca="1" si="32"/>
        <v>0</v>
      </c>
    </row>
    <row r="280" spans="1:9">
      <c r="A280">
        <f t="shared" si="33"/>
        <v>276</v>
      </c>
      <c r="B280">
        <f t="shared" ca="1" si="34"/>
        <v>18</v>
      </c>
      <c r="C280">
        <f t="shared" ca="1" si="35"/>
        <v>96</v>
      </c>
      <c r="D280">
        <f t="shared" ca="1" si="36"/>
        <v>114</v>
      </c>
      <c r="E280">
        <f ca="1">_xll.RiskBinomial($B$1,$B$2)</f>
        <v>102</v>
      </c>
      <c r="F280">
        <f t="shared" ca="1" si="37"/>
        <v>12</v>
      </c>
      <c r="G280">
        <f t="shared" ca="1" si="38"/>
        <v>102</v>
      </c>
      <c r="H280">
        <f t="shared" ca="1" si="39"/>
        <v>102</v>
      </c>
      <c r="I280">
        <f t="shared" ca="1" si="32"/>
        <v>0</v>
      </c>
    </row>
    <row r="281" spans="1:9">
      <c r="A281">
        <f t="shared" si="33"/>
        <v>277</v>
      </c>
      <c r="B281">
        <f t="shared" ca="1" si="34"/>
        <v>12</v>
      </c>
      <c r="C281">
        <f t="shared" ca="1" si="35"/>
        <v>102</v>
      </c>
      <c r="D281">
        <f t="shared" ca="1" si="36"/>
        <v>114</v>
      </c>
      <c r="E281">
        <f ca="1">_xll.RiskBinomial($B$1,$B$2)</f>
        <v>101</v>
      </c>
      <c r="F281">
        <f t="shared" ca="1" si="37"/>
        <v>13</v>
      </c>
      <c r="G281">
        <f t="shared" ca="1" si="38"/>
        <v>101</v>
      </c>
      <c r="H281">
        <f t="shared" ca="1" si="39"/>
        <v>101</v>
      </c>
      <c r="I281">
        <f t="shared" ca="1" si="32"/>
        <v>0</v>
      </c>
    </row>
    <row r="282" spans="1:9">
      <c r="A282">
        <f t="shared" si="33"/>
        <v>278</v>
      </c>
      <c r="B282">
        <f t="shared" ca="1" si="34"/>
        <v>13</v>
      </c>
      <c r="C282">
        <f t="shared" ca="1" si="35"/>
        <v>101</v>
      </c>
      <c r="D282">
        <f t="shared" ca="1" si="36"/>
        <v>114</v>
      </c>
      <c r="E282">
        <f ca="1">_xll.RiskBinomial($B$1,$B$2)</f>
        <v>116</v>
      </c>
      <c r="F282">
        <f t="shared" ca="1" si="37"/>
        <v>-2</v>
      </c>
      <c r="G282">
        <f t="shared" ca="1" si="38"/>
        <v>116</v>
      </c>
      <c r="H282">
        <f t="shared" ca="1" si="39"/>
        <v>110</v>
      </c>
      <c r="I282">
        <f t="shared" ca="1" si="32"/>
        <v>1</v>
      </c>
    </row>
    <row r="283" spans="1:9">
      <c r="A283">
        <f t="shared" si="33"/>
        <v>279</v>
      </c>
      <c r="B283">
        <f t="shared" ca="1" si="34"/>
        <v>-2</v>
      </c>
      <c r="C283">
        <f t="shared" ca="1" si="35"/>
        <v>110</v>
      </c>
      <c r="D283">
        <f t="shared" ca="1" si="36"/>
        <v>108</v>
      </c>
      <c r="E283">
        <f ca="1">_xll.RiskBinomial($B$1,$B$2)</f>
        <v>102</v>
      </c>
      <c r="F283">
        <f t="shared" ca="1" si="37"/>
        <v>6</v>
      </c>
      <c r="G283">
        <f t="shared" ca="1" si="38"/>
        <v>108</v>
      </c>
      <c r="H283">
        <f t="shared" ca="1" si="39"/>
        <v>108</v>
      </c>
      <c r="I283">
        <f t="shared" ca="1" si="32"/>
        <v>0</v>
      </c>
    </row>
    <row r="284" spans="1:9">
      <c r="A284">
        <f t="shared" si="33"/>
        <v>280</v>
      </c>
      <c r="B284">
        <f t="shared" ca="1" si="34"/>
        <v>6</v>
      </c>
      <c r="C284">
        <f t="shared" ca="1" si="35"/>
        <v>108</v>
      </c>
      <c r="D284">
        <f t="shared" ca="1" si="36"/>
        <v>114</v>
      </c>
      <c r="E284">
        <f ca="1">_xll.RiskBinomial($B$1,$B$2)</f>
        <v>96</v>
      </c>
      <c r="F284">
        <f t="shared" ca="1" si="37"/>
        <v>18</v>
      </c>
      <c r="G284">
        <f t="shared" ca="1" si="38"/>
        <v>96</v>
      </c>
      <c r="H284">
        <f t="shared" ca="1" si="39"/>
        <v>96</v>
      </c>
      <c r="I284">
        <f t="shared" ca="1" si="32"/>
        <v>0</v>
      </c>
    </row>
    <row r="285" spans="1:9">
      <c r="A285">
        <f t="shared" si="33"/>
        <v>281</v>
      </c>
      <c r="B285">
        <f t="shared" ca="1" si="34"/>
        <v>18</v>
      </c>
      <c r="C285">
        <f t="shared" ca="1" si="35"/>
        <v>96</v>
      </c>
      <c r="D285">
        <f t="shared" ca="1" si="36"/>
        <v>114</v>
      </c>
      <c r="E285">
        <f ca="1">_xll.RiskBinomial($B$1,$B$2)</f>
        <v>109</v>
      </c>
      <c r="F285">
        <f t="shared" ca="1" si="37"/>
        <v>5</v>
      </c>
      <c r="G285">
        <f t="shared" ca="1" si="38"/>
        <v>109</v>
      </c>
      <c r="H285">
        <f t="shared" ca="1" si="39"/>
        <v>109</v>
      </c>
      <c r="I285">
        <f t="shared" ca="1" si="32"/>
        <v>0</v>
      </c>
    </row>
    <row r="286" spans="1:9">
      <c r="A286">
        <f t="shared" si="33"/>
        <v>282</v>
      </c>
      <c r="B286">
        <f t="shared" ca="1" si="34"/>
        <v>5</v>
      </c>
      <c r="C286">
        <f t="shared" ca="1" si="35"/>
        <v>109</v>
      </c>
      <c r="D286">
        <f t="shared" ca="1" si="36"/>
        <v>114</v>
      </c>
      <c r="E286">
        <f ca="1">_xll.RiskBinomial($B$1,$B$2)</f>
        <v>89</v>
      </c>
      <c r="F286">
        <f t="shared" ca="1" si="37"/>
        <v>25</v>
      </c>
      <c r="G286">
        <f t="shared" ca="1" si="38"/>
        <v>89</v>
      </c>
      <c r="H286">
        <f t="shared" ca="1" si="39"/>
        <v>89</v>
      </c>
      <c r="I286">
        <f t="shared" ca="1" si="32"/>
        <v>0</v>
      </c>
    </row>
    <row r="287" spans="1:9">
      <c r="A287">
        <f t="shared" si="33"/>
        <v>283</v>
      </c>
      <c r="B287">
        <f t="shared" ca="1" si="34"/>
        <v>25</v>
      </c>
      <c r="C287">
        <f t="shared" ca="1" si="35"/>
        <v>89</v>
      </c>
      <c r="D287">
        <f t="shared" ca="1" si="36"/>
        <v>114</v>
      </c>
      <c r="E287">
        <f ca="1">_xll.RiskBinomial($B$1,$B$2)</f>
        <v>113</v>
      </c>
      <c r="F287">
        <f t="shared" ca="1" si="37"/>
        <v>1</v>
      </c>
      <c r="G287">
        <f t="shared" ca="1" si="38"/>
        <v>113</v>
      </c>
      <c r="H287">
        <f t="shared" ca="1" si="39"/>
        <v>110</v>
      </c>
      <c r="I287">
        <f t="shared" ca="1" si="32"/>
        <v>0</v>
      </c>
    </row>
    <row r="288" spans="1:9">
      <c r="A288">
        <f t="shared" si="33"/>
        <v>284</v>
      </c>
      <c r="B288">
        <f t="shared" ca="1" si="34"/>
        <v>1</v>
      </c>
      <c r="C288">
        <f t="shared" ca="1" si="35"/>
        <v>110</v>
      </c>
      <c r="D288">
        <f t="shared" ca="1" si="36"/>
        <v>111</v>
      </c>
      <c r="E288">
        <f ca="1">_xll.RiskBinomial($B$1,$B$2)</f>
        <v>98</v>
      </c>
      <c r="F288">
        <f t="shared" ca="1" si="37"/>
        <v>13</v>
      </c>
      <c r="G288">
        <f t="shared" ca="1" si="38"/>
        <v>101</v>
      </c>
      <c r="H288">
        <f t="shared" ca="1" si="39"/>
        <v>101</v>
      </c>
      <c r="I288">
        <f t="shared" ca="1" si="32"/>
        <v>0</v>
      </c>
    </row>
    <row r="289" spans="1:9">
      <c r="A289">
        <f t="shared" si="33"/>
        <v>285</v>
      </c>
      <c r="B289">
        <f t="shared" ca="1" si="34"/>
        <v>13</v>
      </c>
      <c r="C289">
        <f t="shared" ca="1" si="35"/>
        <v>101</v>
      </c>
      <c r="D289">
        <f t="shared" ca="1" si="36"/>
        <v>114</v>
      </c>
      <c r="E289">
        <f ca="1">_xll.RiskBinomial($B$1,$B$2)</f>
        <v>103</v>
      </c>
      <c r="F289">
        <f t="shared" ca="1" si="37"/>
        <v>11</v>
      </c>
      <c r="G289">
        <f t="shared" ca="1" si="38"/>
        <v>103</v>
      </c>
      <c r="H289">
        <f t="shared" ca="1" si="39"/>
        <v>103</v>
      </c>
      <c r="I289">
        <f t="shared" ca="1" si="32"/>
        <v>0</v>
      </c>
    </row>
    <row r="290" spans="1:9">
      <c r="A290">
        <f t="shared" si="33"/>
        <v>286</v>
      </c>
      <c r="B290">
        <f t="shared" ca="1" si="34"/>
        <v>11</v>
      </c>
      <c r="C290">
        <f t="shared" ca="1" si="35"/>
        <v>103</v>
      </c>
      <c r="D290">
        <f t="shared" ca="1" si="36"/>
        <v>114</v>
      </c>
      <c r="E290">
        <f ca="1">_xll.RiskBinomial($B$1,$B$2)</f>
        <v>105</v>
      </c>
      <c r="F290">
        <f t="shared" ca="1" si="37"/>
        <v>9</v>
      </c>
      <c r="G290">
        <f t="shared" ca="1" si="38"/>
        <v>105</v>
      </c>
      <c r="H290">
        <f t="shared" ca="1" si="39"/>
        <v>105</v>
      </c>
      <c r="I290">
        <f t="shared" ca="1" si="32"/>
        <v>0</v>
      </c>
    </row>
    <row r="291" spans="1:9">
      <c r="A291">
        <f t="shared" si="33"/>
        <v>287</v>
      </c>
      <c r="B291">
        <f t="shared" ca="1" si="34"/>
        <v>9</v>
      </c>
      <c r="C291">
        <f t="shared" ca="1" si="35"/>
        <v>105</v>
      </c>
      <c r="D291">
        <f t="shared" ca="1" si="36"/>
        <v>114</v>
      </c>
      <c r="E291">
        <f ca="1">_xll.RiskBinomial($B$1,$B$2)</f>
        <v>97</v>
      </c>
      <c r="F291">
        <f t="shared" ca="1" si="37"/>
        <v>17</v>
      </c>
      <c r="G291">
        <f t="shared" ca="1" si="38"/>
        <v>97</v>
      </c>
      <c r="H291">
        <f t="shared" ca="1" si="39"/>
        <v>97</v>
      </c>
      <c r="I291">
        <f t="shared" ca="1" si="32"/>
        <v>0</v>
      </c>
    </row>
    <row r="292" spans="1:9">
      <c r="A292">
        <f t="shared" si="33"/>
        <v>288</v>
      </c>
      <c r="B292">
        <f t="shared" ca="1" si="34"/>
        <v>17</v>
      </c>
      <c r="C292">
        <f t="shared" ca="1" si="35"/>
        <v>97</v>
      </c>
      <c r="D292">
        <f t="shared" ca="1" si="36"/>
        <v>114</v>
      </c>
      <c r="E292">
        <f ca="1">_xll.RiskBinomial($B$1,$B$2)</f>
        <v>92</v>
      </c>
      <c r="F292">
        <f t="shared" ca="1" si="37"/>
        <v>22</v>
      </c>
      <c r="G292">
        <f t="shared" ca="1" si="38"/>
        <v>92</v>
      </c>
      <c r="H292">
        <f t="shared" ca="1" si="39"/>
        <v>92</v>
      </c>
      <c r="I292">
        <f t="shared" ca="1" si="32"/>
        <v>0</v>
      </c>
    </row>
    <row r="293" spans="1:9">
      <c r="A293">
        <f t="shared" si="33"/>
        <v>289</v>
      </c>
      <c r="B293">
        <f t="shared" ca="1" si="34"/>
        <v>22</v>
      </c>
      <c r="C293">
        <f t="shared" ca="1" si="35"/>
        <v>92</v>
      </c>
      <c r="D293">
        <f t="shared" ca="1" si="36"/>
        <v>114</v>
      </c>
      <c r="E293">
        <f ca="1">_xll.RiskBinomial($B$1,$B$2)</f>
        <v>104</v>
      </c>
      <c r="F293">
        <f t="shared" ca="1" si="37"/>
        <v>10</v>
      </c>
      <c r="G293">
        <f t="shared" ca="1" si="38"/>
        <v>104</v>
      </c>
      <c r="H293">
        <f t="shared" ca="1" si="39"/>
        <v>104</v>
      </c>
      <c r="I293">
        <f t="shared" ca="1" si="32"/>
        <v>0</v>
      </c>
    </row>
    <row r="294" spans="1:9">
      <c r="A294">
        <f t="shared" si="33"/>
        <v>290</v>
      </c>
      <c r="B294">
        <f t="shared" ca="1" si="34"/>
        <v>10</v>
      </c>
      <c r="C294">
        <f t="shared" ca="1" si="35"/>
        <v>104</v>
      </c>
      <c r="D294">
        <f t="shared" ca="1" si="36"/>
        <v>114</v>
      </c>
      <c r="E294">
        <f ca="1">_xll.RiskBinomial($B$1,$B$2)</f>
        <v>102</v>
      </c>
      <c r="F294">
        <f t="shared" ca="1" si="37"/>
        <v>12</v>
      </c>
      <c r="G294">
        <f t="shared" ca="1" si="38"/>
        <v>102</v>
      </c>
      <c r="H294">
        <f t="shared" ca="1" si="39"/>
        <v>102</v>
      </c>
      <c r="I294">
        <f t="shared" ca="1" si="32"/>
        <v>0</v>
      </c>
    </row>
    <row r="295" spans="1:9">
      <c r="A295">
        <f t="shared" si="33"/>
        <v>291</v>
      </c>
      <c r="B295">
        <f t="shared" ca="1" si="34"/>
        <v>12</v>
      </c>
      <c r="C295">
        <f t="shared" ca="1" si="35"/>
        <v>102</v>
      </c>
      <c r="D295">
        <f t="shared" ca="1" si="36"/>
        <v>114</v>
      </c>
      <c r="E295">
        <f ca="1">_xll.RiskBinomial($B$1,$B$2)</f>
        <v>100</v>
      </c>
      <c r="F295">
        <f t="shared" ca="1" si="37"/>
        <v>14</v>
      </c>
      <c r="G295">
        <f t="shared" ca="1" si="38"/>
        <v>100</v>
      </c>
      <c r="H295">
        <f t="shared" ca="1" si="39"/>
        <v>100</v>
      </c>
      <c r="I295">
        <f t="shared" ca="1" si="32"/>
        <v>0</v>
      </c>
    </row>
    <row r="296" spans="1:9">
      <c r="A296">
        <f t="shared" si="33"/>
        <v>292</v>
      </c>
      <c r="B296">
        <f t="shared" ca="1" si="34"/>
        <v>14</v>
      </c>
      <c r="C296">
        <f t="shared" ca="1" si="35"/>
        <v>100</v>
      </c>
      <c r="D296">
        <f t="shared" ca="1" si="36"/>
        <v>114</v>
      </c>
      <c r="E296">
        <f ca="1">_xll.RiskBinomial($B$1,$B$2)</f>
        <v>117</v>
      </c>
      <c r="F296">
        <f t="shared" ca="1" si="37"/>
        <v>-3</v>
      </c>
      <c r="G296">
        <f t="shared" ca="1" si="38"/>
        <v>117</v>
      </c>
      <c r="H296">
        <f t="shared" ca="1" si="39"/>
        <v>110</v>
      </c>
      <c r="I296">
        <f t="shared" ca="1" si="32"/>
        <v>1</v>
      </c>
    </row>
    <row r="297" spans="1:9">
      <c r="A297">
        <f t="shared" si="33"/>
        <v>293</v>
      </c>
      <c r="B297">
        <f t="shared" ca="1" si="34"/>
        <v>-3</v>
      </c>
      <c r="C297">
        <f t="shared" ca="1" si="35"/>
        <v>110</v>
      </c>
      <c r="D297">
        <f t="shared" ca="1" si="36"/>
        <v>107</v>
      </c>
      <c r="E297">
        <f ca="1">_xll.RiskBinomial($B$1,$B$2)</f>
        <v>116</v>
      </c>
      <c r="F297">
        <f t="shared" ca="1" si="37"/>
        <v>-9</v>
      </c>
      <c r="G297">
        <f t="shared" ca="1" si="38"/>
        <v>123</v>
      </c>
      <c r="H297">
        <f t="shared" ca="1" si="39"/>
        <v>110</v>
      </c>
      <c r="I297">
        <f t="shared" ca="1" si="32"/>
        <v>1</v>
      </c>
    </row>
    <row r="298" spans="1:9">
      <c r="A298">
        <f t="shared" si="33"/>
        <v>294</v>
      </c>
      <c r="B298">
        <f t="shared" ca="1" si="34"/>
        <v>-9</v>
      </c>
      <c r="C298">
        <f t="shared" ca="1" si="35"/>
        <v>110</v>
      </c>
      <c r="D298">
        <f t="shared" ca="1" si="36"/>
        <v>101</v>
      </c>
      <c r="E298">
        <f ca="1">_xll.RiskBinomial($B$1,$B$2)</f>
        <v>101</v>
      </c>
      <c r="F298">
        <f t="shared" ca="1" si="37"/>
        <v>0</v>
      </c>
      <c r="G298">
        <f t="shared" ca="1" si="38"/>
        <v>114</v>
      </c>
      <c r="H298">
        <f t="shared" ca="1" si="39"/>
        <v>110</v>
      </c>
      <c r="I298">
        <f t="shared" ca="1" si="32"/>
        <v>0</v>
      </c>
    </row>
    <row r="299" spans="1:9">
      <c r="A299">
        <f t="shared" si="33"/>
        <v>295</v>
      </c>
      <c r="B299">
        <f t="shared" ca="1" si="34"/>
        <v>0</v>
      </c>
      <c r="C299">
        <f t="shared" ca="1" si="35"/>
        <v>110</v>
      </c>
      <c r="D299">
        <f t="shared" ca="1" si="36"/>
        <v>110</v>
      </c>
      <c r="E299">
        <f ca="1">_xll.RiskBinomial($B$1,$B$2)</f>
        <v>114</v>
      </c>
      <c r="F299">
        <f t="shared" ca="1" si="37"/>
        <v>-4</v>
      </c>
      <c r="G299">
        <f t="shared" ca="1" si="38"/>
        <v>118</v>
      </c>
      <c r="H299">
        <f t="shared" ca="1" si="39"/>
        <v>110</v>
      </c>
      <c r="I299">
        <f t="shared" ca="1" si="32"/>
        <v>1</v>
      </c>
    </row>
    <row r="300" spans="1:9">
      <c r="A300">
        <f t="shared" si="33"/>
        <v>296</v>
      </c>
      <c r="B300">
        <f t="shared" ca="1" si="34"/>
        <v>-4</v>
      </c>
      <c r="C300">
        <f t="shared" ca="1" si="35"/>
        <v>110</v>
      </c>
      <c r="D300">
        <f t="shared" ca="1" si="36"/>
        <v>106</v>
      </c>
      <c r="E300">
        <f ca="1">_xll.RiskBinomial($B$1,$B$2)</f>
        <v>109</v>
      </c>
      <c r="F300">
        <f t="shared" ca="1" si="37"/>
        <v>-3</v>
      </c>
      <c r="G300">
        <f t="shared" ca="1" si="38"/>
        <v>117</v>
      </c>
      <c r="H300">
        <f t="shared" ca="1" si="39"/>
        <v>110</v>
      </c>
      <c r="I300">
        <f t="shared" ca="1" si="32"/>
        <v>1</v>
      </c>
    </row>
    <row r="301" spans="1:9">
      <c r="A301">
        <f t="shared" si="33"/>
        <v>297</v>
      </c>
      <c r="B301">
        <f t="shared" ca="1" si="34"/>
        <v>-3</v>
      </c>
      <c r="C301">
        <f t="shared" ca="1" si="35"/>
        <v>110</v>
      </c>
      <c r="D301">
        <f t="shared" ca="1" si="36"/>
        <v>107</v>
      </c>
      <c r="E301">
        <f ca="1">_xll.RiskBinomial($B$1,$B$2)</f>
        <v>100</v>
      </c>
      <c r="F301">
        <f t="shared" ca="1" si="37"/>
        <v>7</v>
      </c>
      <c r="G301">
        <f t="shared" ca="1" si="38"/>
        <v>107</v>
      </c>
      <c r="H301">
        <f t="shared" ca="1" si="39"/>
        <v>107</v>
      </c>
      <c r="I301">
        <f t="shared" ca="1" si="32"/>
        <v>0</v>
      </c>
    </row>
    <row r="302" spans="1:9">
      <c r="A302">
        <f t="shared" si="33"/>
        <v>298</v>
      </c>
      <c r="B302">
        <f t="shared" ca="1" si="34"/>
        <v>7</v>
      </c>
      <c r="C302">
        <f t="shared" ca="1" si="35"/>
        <v>107</v>
      </c>
      <c r="D302">
        <f t="shared" ca="1" si="36"/>
        <v>114</v>
      </c>
      <c r="E302">
        <f ca="1">_xll.RiskBinomial($B$1,$B$2)</f>
        <v>107</v>
      </c>
      <c r="F302">
        <f t="shared" ca="1" si="37"/>
        <v>7</v>
      </c>
      <c r="G302">
        <f t="shared" ca="1" si="38"/>
        <v>107</v>
      </c>
      <c r="H302">
        <f t="shared" ca="1" si="39"/>
        <v>107</v>
      </c>
      <c r="I302">
        <f t="shared" ca="1" si="32"/>
        <v>0</v>
      </c>
    </row>
    <row r="303" spans="1:9">
      <c r="A303">
        <f t="shared" si="33"/>
        <v>299</v>
      </c>
      <c r="B303">
        <f t="shared" ca="1" si="34"/>
        <v>7</v>
      </c>
      <c r="C303">
        <f t="shared" ca="1" si="35"/>
        <v>107</v>
      </c>
      <c r="D303">
        <f t="shared" ca="1" si="36"/>
        <v>114</v>
      </c>
      <c r="E303">
        <f ca="1">_xll.RiskBinomial($B$1,$B$2)</f>
        <v>100</v>
      </c>
      <c r="F303">
        <f t="shared" ca="1" si="37"/>
        <v>14</v>
      </c>
      <c r="G303">
        <f t="shared" ca="1" si="38"/>
        <v>100</v>
      </c>
      <c r="H303">
        <f t="shared" ca="1" si="39"/>
        <v>100</v>
      </c>
      <c r="I303">
        <f t="shared" ca="1" si="32"/>
        <v>0</v>
      </c>
    </row>
    <row r="304" spans="1:9">
      <c r="A304">
        <f t="shared" si="33"/>
        <v>300</v>
      </c>
      <c r="B304">
        <f t="shared" ca="1" si="34"/>
        <v>14</v>
      </c>
      <c r="C304">
        <f t="shared" ca="1" si="35"/>
        <v>100</v>
      </c>
      <c r="D304">
        <f t="shared" ca="1" si="36"/>
        <v>114</v>
      </c>
      <c r="E304">
        <f ca="1">_xll.RiskBinomial($B$1,$B$2)</f>
        <v>106</v>
      </c>
      <c r="F304">
        <f t="shared" ca="1" si="37"/>
        <v>8</v>
      </c>
      <c r="G304">
        <f t="shared" ca="1" si="38"/>
        <v>106</v>
      </c>
      <c r="H304">
        <f t="shared" ca="1" si="39"/>
        <v>106</v>
      </c>
      <c r="I304">
        <f t="shared" ca="1" si="32"/>
        <v>0</v>
      </c>
    </row>
    <row r="305" spans="1:9">
      <c r="A305">
        <f t="shared" si="33"/>
        <v>301</v>
      </c>
      <c r="B305">
        <f t="shared" ca="1" si="34"/>
        <v>8</v>
      </c>
      <c r="C305">
        <f t="shared" ca="1" si="35"/>
        <v>106</v>
      </c>
      <c r="D305">
        <f t="shared" ca="1" si="36"/>
        <v>114</v>
      </c>
      <c r="E305">
        <f ca="1">_xll.RiskBinomial($B$1,$B$2)</f>
        <v>103</v>
      </c>
      <c r="F305">
        <f t="shared" ca="1" si="37"/>
        <v>11</v>
      </c>
      <c r="G305">
        <f t="shared" ca="1" si="38"/>
        <v>103</v>
      </c>
      <c r="H305">
        <f t="shared" ca="1" si="39"/>
        <v>103</v>
      </c>
      <c r="I305">
        <f t="shared" ca="1" si="32"/>
        <v>0</v>
      </c>
    </row>
    <row r="306" spans="1:9">
      <c r="A306">
        <f t="shared" si="33"/>
        <v>302</v>
      </c>
      <c r="B306">
        <f t="shared" ca="1" si="34"/>
        <v>11</v>
      </c>
      <c r="C306">
        <f t="shared" ca="1" si="35"/>
        <v>103</v>
      </c>
      <c r="D306">
        <f t="shared" ca="1" si="36"/>
        <v>114</v>
      </c>
      <c r="E306">
        <f ca="1">_xll.RiskBinomial($B$1,$B$2)</f>
        <v>114</v>
      </c>
      <c r="F306">
        <f t="shared" ca="1" si="37"/>
        <v>0</v>
      </c>
      <c r="G306">
        <f t="shared" ca="1" si="38"/>
        <v>114</v>
      </c>
      <c r="H306">
        <f t="shared" ca="1" si="39"/>
        <v>110</v>
      </c>
      <c r="I306">
        <f t="shared" ca="1" si="32"/>
        <v>0</v>
      </c>
    </row>
    <row r="307" spans="1:9">
      <c r="A307">
        <f t="shared" si="33"/>
        <v>303</v>
      </c>
      <c r="B307">
        <f t="shared" ca="1" si="34"/>
        <v>0</v>
      </c>
      <c r="C307">
        <f t="shared" ca="1" si="35"/>
        <v>110</v>
      </c>
      <c r="D307">
        <f t="shared" ca="1" si="36"/>
        <v>110</v>
      </c>
      <c r="E307">
        <f ca="1">_xll.RiskBinomial($B$1,$B$2)</f>
        <v>87</v>
      </c>
      <c r="F307">
        <f t="shared" ca="1" si="37"/>
        <v>23</v>
      </c>
      <c r="G307">
        <f t="shared" ca="1" si="38"/>
        <v>91</v>
      </c>
      <c r="H307">
        <f t="shared" ca="1" si="39"/>
        <v>91</v>
      </c>
      <c r="I307">
        <f t="shared" ca="1" si="32"/>
        <v>0</v>
      </c>
    </row>
    <row r="308" spans="1:9">
      <c r="A308">
        <f t="shared" si="33"/>
        <v>304</v>
      </c>
      <c r="B308">
        <f t="shared" ca="1" si="34"/>
        <v>23</v>
      </c>
      <c r="C308">
        <f t="shared" ca="1" si="35"/>
        <v>91</v>
      </c>
      <c r="D308">
        <f t="shared" ca="1" si="36"/>
        <v>114</v>
      </c>
      <c r="E308">
        <f ca="1">_xll.RiskBinomial($B$1,$B$2)</f>
        <v>104</v>
      </c>
      <c r="F308">
        <f t="shared" ca="1" si="37"/>
        <v>10</v>
      </c>
      <c r="G308">
        <f t="shared" ca="1" si="38"/>
        <v>104</v>
      </c>
      <c r="H308">
        <f t="shared" ca="1" si="39"/>
        <v>104</v>
      </c>
      <c r="I308">
        <f t="shared" ca="1" si="32"/>
        <v>0</v>
      </c>
    </row>
    <row r="309" spans="1:9">
      <c r="A309">
        <f t="shared" si="33"/>
        <v>305</v>
      </c>
      <c r="B309">
        <f t="shared" ca="1" si="34"/>
        <v>10</v>
      </c>
      <c r="C309">
        <f t="shared" ca="1" si="35"/>
        <v>104</v>
      </c>
      <c r="D309">
        <f t="shared" ca="1" si="36"/>
        <v>114</v>
      </c>
      <c r="E309">
        <f ca="1">_xll.RiskBinomial($B$1,$B$2)</f>
        <v>98</v>
      </c>
      <c r="F309">
        <f t="shared" ca="1" si="37"/>
        <v>16</v>
      </c>
      <c r="G309">
        <f t="shared" ca="1" si="38"/>
        <v>98</v>
      </c>
      <c r="H309">
        <f t="shared" ca="1" si="39"/>
        <v>98</v>
      </c>
      <c r="I309">
        <f t="shared" ca="1" si="32"/>
        <v>0</v>
      </c>
    </row>
    <row r="310" spans="1:9">
      <c r="A310">
        <f t="shared" si="33"/>
        <v>306</v>
      </c>
      <c r="B310">
        <f t="shared" ca="1" si="34"/>
        <v>16</v>
      </c>
      <c r="C310">
        <f t="shared" ca="1" si="35"/>
        <v>98</v>
      </c>
      <c r="D310">
        <f t="shared" ca="1" si="36"/>
        <v>114</v>
      </c>
      <c r="E310">
        <f ca="1">_xll.RiskBinomial($B$1,$B$2)</f>
        <v>88</v>
      </c>
      <c r="F310">
        <f t="shared" ca="1" si="37"/>
        <v>26</v>
      </c>
      <c r="G310">
        <f t="shared" ca="1" si="38"/>
        <v>88</v>
      </c>
      <c r="H310">
        <f t="shared" ca="1" si="39"/>
        <v>88</v>
      </c>
      <c r="I310">
        <f t="shared" ca="1" si="32"/>
        <v>0</v>
      </c>
    </row>
    <row r="311" spans="1:9">
      <c r="A311">
        <f t="shared" si="33"/>
        <v>307</v>
      </c>
      <c r="B311">
        <f t="shared" ca="1" si="34"/>
        <v>26</v>
      </c>
      <c r="C311">
        <f t="shared" ca="1" si="35"/>
        <v>88</v>
      </c>
      <c r="D311">
        <f t="shared" ca="1" si="36"/>
        <v>114</v>
      </c>
      <c r="E311">
        <f ca="1">_xll.RiskBinomial($B$1,$B$2)</f>
        <v>89</v>
      </c>
      <c r="F311">
        <f t="shared" ca="1" si="37"/>
        <v>25</v>
      </c>
      <c r="G311">
        <f t="shared" ca="1" si="38"/>
        <v>89</v>
      </c>
      <c r="H311">
        <f t="shared" ca="1" si="39"/>
        <v>89</v>
      </c>
      <c r="I311">
        <f t="shared" ca="1" si="32"/>
        <v>0</v>
      </c>
    </row>
    <row r="312" spans="1:9">
      <c r="A312">
        <f t="shared" si="33"/>
        <v>308</v>
      </c>
      <c r="B312">
        <f t="shared" ca="1" si="34"/>
        <v>25</v>
      </c>
      <c r="C312">
        <f t="shared" ca="1" si="35"/>
        <v>89</v>
      </c>
      <c r="D312">
        <f t="shared" ca="1" si="36"/>
        <v>114</v>
      </c>
      <c r="E312">
        <f ca="1">_xll.RiskBinomial($B$1,$B$2)</f>
        <v>84</v>
      </c>
      <c r="F312">
        <f t="shared" ca="1" si="37"/>
        <v>30</v>
      </c>
      <c r="G312">
        <f t="shared" ca="1" si="38"/>
        <v>84</v>
      </c>
      <c r="H312">
        <f t="shared" ca="1" si="39"/>
        <v>84</v>
      </c>
      <c r="I312">
        <f t="shared" ca="1" si="32"/>
        <v>0</v>
      </c>
    </row>
    <row r="313" spans="1:9">
      <c r="A313">
        <f t="shared" si="33"/>
        <v>309</v>
      </c>
      <c r="B313">
        <f t="shared" ca="1" si="34"/>
        <v>30</v>
      </c>
      <c r="C313">
        <f t="shared" ca="1" si="35"/>
        <v>84</v>
      </c>
      <c r="D313">
        <f t="shared" ca="1" si="36"/>
        <v>114</v>
      </c>
      <c r="E313">
        <f ca="1">_xll.RiskBinomial($B$1,$B$2)</f>
        <v>84</v>
      </c>
      <c r="F313">
        <f t="shared" ca="1" si="37"/>
        <v>30</v>
      </c>
      <c r="G313">
        <f t="shared" ca="1" si="38"/>
        <v>84</v>
      </c>
      <c r="H313">
        <f t="shared" ca="1" si="39"/>
        <v>84</v>
      </c>
      <c r="I313">
        <f t="shared" ca="1" si="32"/>
        <v>0</v>
      </c>
    </row>
    <row r="314" spans="1:9">
      <c r="A314">
        <f t="shared" si="33"/>
        <v>310</v>
      </c>
      <c r="B314">
        <f t="shared" ca="1" si="34"/>
        <v>30</v>
      </c>
      <c r="C314">
        <f t="shared" ca="1" si="35"/>
        <v>84</v>
      </c>
      <c r="D314">
        <f t="shared" ca="1" si="36"/>
        <v>114</v>
      </c>
      <c r="E314">
        <f ca="1">_xll.RiskBinomial($B$1,$B$2)</f>
        <v>106</v>
      </c>
      <c r="F314">
        <f t="shared" ca="1" si="37"/>
        <v>8</v>
      </c>
      <c r="G314">
        <f t="shared" ca="1" si="38"/>
        <v>106</v>
      </c>
      <c r="H314">
        <f t="shared" ca="1" si="39"/>
        <v>106</v>
      </c>
      <c r="I314">
        <f t="shared" ca="1" si="32"/>
        <v>0</v>
      </c>
    </row>
    <row r="315" spans="1:9">
      <c r="A315">
        <f t="shared" si="33"/>
        <v>311</v>
      </c>
      <c r="B315">
        <f t="shared" ca="1" si="34"/>
        <v>8</v>
      </c>
      <c r="C315">
        <f t="shared" ca="1" si="35"/>
        <v>106</v>
      </c>
      <c r="D315">
        <f t="shared" ca="1" si="36"/>
        <v>114</v>
      </c>
      <c r="E315">
        <f ca="1">_xll.RiskBinomial($B$1,$B$2)</f>
        <v>108</v>
      </c>
      <c r="F315">
        <f t="shared" ca="1" si="37"/>
        <v>6</v>
      </c>
      <c r="G315">
        <f t="shared" ca="1" si="38"/>
        <v>108</v>
      </c>
      <c r="H315">
        <f t="shared" ca="1" si="39"/>
        <v>108</v>
      </c>
      <c r="I315">
        <f t="shared" ca="1" si="32"/>
        <v>0</v>
      </c>
    </row>
    <row r="316" spans="1:9">
      <c r="A316">
        <f t="shared" si="33"/>
        <v>312</v>
      </c>
      <c r="B316">
        <f t="shared" ca="1" si="34"/>
        <v>6</v>
      </c>
      <c r="C316">
        <f t="shared" ca="1" si="35"/>
        <v>108</v>
      </c>
      <c r="D316">
        <f t="shared" ca="1" si="36"/>
        <v>114</v>
      </c>
      <c r="E316">
        <f ca="1">_xll.RiskBinomial($B$1,$B$2)</f>
        <v>103</v>
      </c>
      <c r="F316">
        <f t="shared" ca="1" si="37"/>
        <v>11</v>
      </c>
      <c r="G316">
        <f t="shared" ca="1" si="38"/>
        <v>103</v>
      </c>
      <c r="H316">
        <f t="shared" ca="1" si="39"/>
        <v>103</v>
      </c>
      <c r="I316">
        <f t="shared" ca="1" si="32"/>
        <v>0</v>
      </c>
    </row>
    <row r="317" spans="1:9">
      <c r="A317">
        <f t="shared" si="33"/>
        <v>313</v>
      </c>
      <c r="B317">
        <f t="shared" ca="1" si="34"/>
        <v>11</v>
      </c>
      <c r="C317">
        <f t="shared" ca="1" si="35"/>
        <v>103</v>
      </c>
      <c r="D317">
        <f t="shared" ca="1" si="36"/>
        <v>114</v>
      </c>
      <c r="E317">
        <f ca="1">_xll.RiskBinomial($B$1,$B$2)</f>
        <v>79</v>
      </c>
      <c r="F317">
        <f t="shared" ca="1" si="37"/>
        <v>35</v>
      </c>
      <c r="G317">
        <f t="shared" ca="1" si="38"/>
        <v>79</v>
      </c>
      <c r="H317">
        <f t="shared" ca="1" si="39"/>
        <v>79</v>
      </c>
      <c r="I317">
        <f t="shared" ca="1" si="32"/>
        <v>0</v>
      </c>
    </row>
    <row r="318" spans="1:9">
      <c r="A318">
        <f t="shared" si="33"/>
        <v>314</v>
      </c>
      <c r="B318">
        <f t="shared" ca="1" si="34"/>
        <v>35</v>
      </c>
      <c r="C318">
        <f t="shared" ca="1" si="35"/>
        <v>79</v>
      </c>
      <c r="D318">
        <f t="shared" ca="1" si="36"/>
        <v>114</v>
      </c>
      <c r="E318">
        <f ca="1">_xll.RiskBinomial($B$1,$B$2)</f>
        <v>92</v>
      </c>
      <c r="F318">
        <f t="shared" ca="1" si="37"/>
        <v>22</v>
      </c>
      <c r="G318">
        <f t="shared" ca="1" si="38"/>
        <v>92</v>
      </c>
      <c r="H318">
        <f t="shared" ca="1" si="39"/>
        <v>92</v>
      </c>
      <c r="I318">
        <f t="shared" ca="1" si="32"/>
        <v>0</v>
      </c>
    </row>
    <row r="319" spans="1:9">
      <c r="A319">
        <f t="shared" si="33"/>
        <v>315</v>
      </c>
      <c r="B319">
        <f t="shared" ca="1" si="34"/>
        <v>22</v>
      </c>
      <c r="C319">
        <f t="shared" ca="1" si="35"/>
        <v>92</v>
      </c>
      <c r="D319">
        <f t="shared" ca="1" si="36"/>
        <v>114</v>
      </c>
      <c r="E319">
        <f ca="1">_xll.RiskBinomial($B$1,$B$2)</f>
        <v>94</v>
      </c>
      <c r="F319">
        <f t="shared" ca="1" si="37"/>
        <v>20</v>
      </c>
      <c r="G319">
        <f t="shared" ca="1" si="38"/>
        <v>94</v>
      </c>
      <c r="H319">
        <f t="shared" ca="1" si="39"/>
        <v>94</v>
      </c>
      <c r="I319">
        <f t="shared" ca="1" si="32"/>
        <v>0</v>
      </c>
    </row>
    <row r="320" spans="1:9">
      <c r="A320">
        <f t="shared" si="33"/>
        <v>316</v>
      </c>
      <c r="B320">
        <f t="shared" ca="1" si="34"/>
        <v>20</v>
      </c>
      <c r="C320">
        <f t="shared" ca="1" si="35"/>
        <v>94</v>
      </c>
      <c r="D320">
        <f t="shared" ca="1" si="36"/>
        <v>114</v>
      </c>
      <c r="E320">
        <f ca="1">_xll.RiskBinomial($B$1,$B$2)</f>
        <v>107</v>
      </c>
      <c r="F320">
        <f t="shared" ca="1" si="37"/>
        <v>7</v>
      </c>
      <c r="G320">
        <f t="shared" ca="1" si="38"/>
        <v>107</v>
      </c>
      <c r="H320">
        <f t="shared" ca="1" si="39"/>
        <v>107</v>
      </c>
      <c r="I320">
        <f t="shared" ca="1" si="32"/>
        <v>0</v>
      </c>
    </row>
    <row r="321" spans="1:9">
      <c r="A321">
        <f t="shared" si="33"/>
        <v>317</v>
      </c>
      <c r="B321">
        <f t="shared" ca="1" si="34"/>
        <v>7</v>
      </c>
      <c r="C321">
        <f t="shared" ca="1" si="35"/>
        <v>107</v>
      </c>
      <c r="D321">
        <f t="shared" ca="1" si="36"/>
        <v>114</v>
      </c>
      <c r="E321">
        <f ca="1">_xll.RiskBinomial($B$1,$B$2)</f>
        <v>96</v>
      </c>
      <c r="F321">
        <f t="shared" ca="1" si="37"/>
        <v>18</v>
      </c>
      <c r="G321">
        <f t="shared" ca="1" si="38"/>
        <v>96</v>
      </c>
      <c r="H321">
        <f t="shared" ca="1" si="39"/>
        <v>96</v>
      </c>
      <c r="I321">
        <f t="shared" ca="1" si="32"/>
        <v>0</v>
      </c>
    </row>
    <row r="322" spans="1:9">
      <c r="A322">
        <f t="shared" si="33"/>
        <v>318</v>
      </c>
      <c r="B322">
        <f t="shared" ca="1" si="34"/>
        <v>18</v>
      </c>
      <c r="C322">
        <f t="shared" ca="1" si="35"/>
        <v>96</v>
      </c>
      <c r="D322">
        <f t="shared" ca="1" si="36"/>
        <v>114</v>
      </c>
      <c r="E322">
        <f ca="1">_xll.RiskBinomial($B$1,$B$2)</f>
        <v>90</v>
      </c>
      <c r="F322">
        <f t="shared" ca="1" si="37"/>
        <v>24</v>
      </c>
      <c r="G322">
        <f t="shared" ca="1" si="38"/>
        <v>90</v>
      </c>
      <c r="H322">
        <f t="shared" ca="1" si="39"/>
        <v>90</v>
      </c>
      <c r="I322">
        <f t="shared" ca="1" si="32"/>
        <v>0</v>
      </c>
    </row>
    <row r="323" spans="1:9">
      <c r="A323">
        <f t="shared" si="33"/>
        <v>319</v>
      </c>
      <c r="B323">
        <f t="shared" ca="1" si="34"/>
        <v>24</v>
      </c>
      <c r="C323">
        <f t="shared" ca="1" si="35"/>
        <v>90</v>
      </c>
      <c r="D323">
        <f t="shared" ca="1" si="36"/>
        <v>114</v>
      </c>
      <c r="E323">
        <f ca="1">_xll.RiskBinomial($B$1,$B$2)</f>
        <v>97</v>
      </c>
      <c r="F323">
        <f t="shared" ca="1" si="37"/>
        <v>17</v>
      </c>
      <c r="G323">
        <f t="shared" ca="1" si="38"/>
        <v>97</v>
      </c>
      <c r="H323">
        <f t="shared" ca="1" si="39"/>
        <v>97</v>
      </c>
      <c r="I323">
        <f t="shared" ca="1" si="32"/>
        <v>0</v>
      </c>
    </row>
    <row r="324" spans="1:9">
      <c r="A324">
        <f t="shared" si="33"/>
        <v>320</v>
      </c>
      <c r="B324">
        <f t="shared" ca="1" si="34"/>
        <v>17</v>
      </c>
      <c r="C324">
        <f t="shared" ca="1" si="35"/>
        <v>97</v>
      </c>
      <c r="D324">
        <f t="shared" ca="1" si="36"/>
        <v>114</v>
      </c>
      <c r="E324">
        <f ca="1">_xll.RiskBinomial($B$1,$B$2)</f>
        <v>106</v>
      </c>
      <c r="F324">
        <f t="shared" ca="1" si="37"/>
        <v>8</v>
      </c>
      <c r="G324">
        <f t="shared" ca="1" si="38"/>
        <v>106</v>
      </c>
      <c r="H324">
        <f t="shared" ca="1" si="39"/>
        <v>106</v>
      </c>
      <c r="I324">
        <f t="shared" ca="1" si="32"/>
        <v>0</v>
      </c>
    </row>
    <row r="325" spans="1:9">
      <c r="A325">
        <f t="shared" si="33"/>
        <v>321</v>
      </c>
      <c r="B325">
        <f t="shared" ca="1" si="34"/>
        <v>8</v>
      </c>
      <c r="C325">
        <f t="shared" ca="1" si="35"/>
        <v>106</v>
      </c>
      <c r="D325">
        <f t="shared" ca="1" si="36"/>
        <v>114</v>
      </c>
      <c r="E325">
        <f ca="1">_xll.RiskBinomial($B$1,$B$2)</f>
        <v>104</v>
      </c>
      <c r="F325">
        <f t="shared" ca="1" si="37"/>
        <v>10</v>
      </c>
      <c r="G325">
        <f t="shared" ca="1" si="38"/>
        <v>104</v>
      </c>
      <c r="H325">
        <f t="shared" ca="1" si="39"/>
        <v>104</v>
      </c>
      <c r="I325">
        <f t="shared" ca="1" si="32"/>
        <v>0</v>
      </c>
    </row>
    <row r="326" spans="1:9">
      <c r="A326">
        <f t="shared" si="33"/>
        <v>322</v>
      </c>
      <c r="B326">
        <f t="shared" ca="1" si="34"/>
        <v>10</v>
      </c>
      <c r="C326">
        <f t="shared" ca="1" si="35"/>
        <v>104</v>
      </c>
      <c r="D326">
        <f t="shared" ca="1" si="36"/>
        <v>114</v>
      </c>
      <c r="E326">
        <f ca="1">_xll.RiskBinomial($B$1,$B$2)</f>
        <v>101</v>
      </c>
      <c r="F326">
        <f t="shared" ca="1" si="37"/>
        <v>13</v>
      </c>
      <c r="G326">
        <f t="shared" ca="1" si="38"/>
        <v>101</v>
      </c>
      <c r="H326">
        <f t="shared" ca="1" si="39"/>
        <v>101</v>
      </c>
      <c r="I326">
        <f t="shared" ref="I326:I389" ca="1" si="40">IF(F326&lt;0,1,0)</f>
        <v>0</v>
      </c>
    </row>
    <row r="327" spans="1:9">
      <c r="A327">
        <f t="shared" ref="A327:A390" si="41">A326+1</f>
        <v>323</v>
      </c>
      <c r="B327">
        <f t="shared" ref="B327:B390" ca="1" si="42">F326</f>
        <v>13</v>
      </c>
      <c r="C327">
        <f t="shared" ref="C327:C390" ca="1" si="43">H326</f>
        <v>101</v>
      </c>
      <c r="D327">
        <f t="shared" ref="D327:D390" ca="1" si="44">B327+C327</f>
        <v>114</v>
      </c>
      <c r="E327">
        <f ca="1">_xll.RiskBinomial($B$1,$B$2)</f>
        <v>98</v>
      </c>
      <c r="F327">
        <f t="shared" ref="F327:F390" ca="1" si="45">D327-E327</f>
        <v>16</v>
      </c>
      <c r="G327">
        <f t="shared" ref="G327:G390" ca="1" si="46">$H$1-F327</f>
        <v>98</v>
      </c>
      <c r="H327">
        <f t="shared" ref="H327:H390" ca="1" si="47">MIN(G327,$H$2)</f>
        <v>98</v>
      </c>
      <c r="I327">
        <f t="shared" ca="1" si="40"/>
        <v>0</v>
      </c>
    </row>
    <row r="328" spans="1:9">
      <c r="A328">
        <f t="shared" si="41"/>
        <v>324</v>
      </c>
      <c r="B328">
        <f t="shared" ca="1" si="42"/>
        <v>16</v>
      </c>
      <c r="C328">
        <f t="shared" ca="1" si="43"/>
        <v>98</v>
      </c>
      <c r="D328">
        <f t="shared" ca="1" si="44"/>
        <v>114</v>
      </c>
      <c r="E328">
        <f ca="1">_xll.RiskBinomial($B$1,$B$2)</f>
        <v>100</v>
      </c>
      <c r="F328">
        <f t="shared" ca="1" si="45"/>
        <v>14</v>
      </c>
      <c r="G328">
        <f t="shared" ca="1" si="46"/>
        <v>100</v>
      </c>
      <c r="H328">
        <f t="shared" ca="1" si="47"/>
        <v>100</v>
      </c>
      <c r="I328">
        <f t="shared" ca="1" si="40"/>
        <v>0</v>
      </c>
    </row>
    <row r="329" spans="1:9">
      <c r="A329">
        <f t="shared" si="41"/>
        <v>325</v>
      </c>
      <c r="B329">
        <f t="shared" ca="1" si="42"/>
        <v>14</v>
      </c>
      <c r="C329">
        <f t="shared" ca="1" si="43"/>
        <v>100</v>
      </c>
      <c r="D329">
        <f t="shared" ca="1" si="44"/>
        <v>114</v>
      </c>
      <c r="E329">
        <f ca="1">_xll.RiskBinomial($B$1,$B$2)</f>
        <v>83</v>
      </c>
      <c r="F329">
        <f t="shared" ca="1" si="45"/>
        <v>31</v>
      </c>
      <c r="G329">
        <f t="shared" ca="1" si="46"/>
        <v>83</v>
      </c>
      <c r="H329">
        <f t="shared" ca="1" si="47"/>
        <v>83</v>
      </c>
      <c r="I329">
        <f t="shared" ca="1" si="40"/>
        <v>0</v>
      </c>
    </row>
    <row r="330" spans="1:9">
      <c r="A330">
        <f t="shared" si="41"/>
        <v>326</v>
      </c>
      <c r="B330">
        <f t="shared" ca="1" si="42"/>
        <v>31</v>
      </c>
      <c r="C330">
        <f t="shared" ca="1" si="43"/>
        <v>83</v>
      </c>
      <c r="D330">
        <f t="shared" ca="1" si="44"/>
        <v>114</v>
      </c>
      <c r="E330">
        <f ca="1">_xll.RiskBinomial($B$1,$B$2)</f>
        <v>95</v>
      </c>
      <c r="F330">
        <f t="shared" ca="1" si="45"/>
        <v>19</v>
      </c>
      <c r="G330">
        <f t="shared" ca="1" si="46"/>
        <v>95</v>
      </c>
      <c r="H330">
        <f t="shared" ca="1" si="47"/>
        <v>95</v>
      </c>
      <c r="I330">
        <f t="shared" ca="1" si="40"/>
        <v>0</v>
      </c>
    </row>
    <row r="331" spans="1:9">
      <c r="A331">
        <f t="shared" si="41"/>
        <v>327</v>
      </c>
      <c r="B331">
        <f t="shared" ca="1" si="42"/>
        <v>19</v>
      </c>
      <c r="C331">
        <f t="shared" ca="1" si="43"/>
        <v>95</v>
      </c>
      <c r="D331">
        <f t="shared" ca="1" si="44"/>
        <v>114</v>
      </c>
      <c r="E331">
        <f ca="1">_xll.RiskBinomial($B$1,$B$2)</f>
        <v>115</v>
      </c>
      <c r="F331">
        <f t="shared" ca="1" si="45"/>
        <v>-1</v>
      </c>
      <c r="G331">
        <f t="shared" ca="1" si="46"/>
        <v>115</v>
      </c>
      <c r="H331">
        <f t="shared" ca="1" si="47"/>
        <v>110</v>
      </c>
      <c r="I331">
        <f t="shared" ca="1" si="40"/>
        <v>1</v>
      </c>
    </row>
    <row r="332" spans="1:9">
      <c r="A332">
        <f t="shared" si="41"/>
        <v>328</v>
      </c>
      <c r="B332">
        <f t="shared" ca="1" si="42"/>
        <v>-1</v>
      </c>
      <c r="C332">
        <f t="shared" ca="1" si="43"/>
        <v>110</v>
      </c>
      <c r="D332">
        <f t="shared" ca="1" si="44"/>
        <v>109</v>
      </c>
      <c r="E332">
        <f ca="1">_xll.RiskBinomial($B$1,$B$2)</f>
        <v>99</v>
      </c>
      <c r="F332">
        <f t="shared" ca="1" si="45"/>
        <v>10</v>
      </c>
      <c r="G332">
        <f t="shared" ca="1" si="46"/>
        <v>104</v>
      </c>
      <c r="H332">
        <f t="shared" ca="1" si="47"/>
        <v>104</v>
      </c>
      <c r="I332">
        <f t="shared" ca="1" si="40"/>
        <v>0</v>
      </c>
    </row>
    <row r="333" spans="1:9">
      <c r="A333">
        <f t="shared" si="41"/>
        <v>329</v>
      </c>
      <c r="B333">
        <f t="shared" ca="1" si="42"/>
        <v>10</v>
      </c>
      <c r="C333">
        <f t="shared" ca="1" si="43"/>
        <v>104</v>
      </c>
      <c r="D333">
        <f t="shared" ca="1" si="44"/>
        <v>114</v>
      </c>
      <c r="E333">
        <f ca="1">_xll.RiskBinomial($B$1,$B$2)</f>
        <v>105</v>
      </c>
      <c r="F333">
        <f t="shared" ca="1" si="45"/>
        <v>9</v>
      </c>
      <c r="G333">
        <f t="shared" ca="1" si="46"/>
        <v>105</v>
      </c>
      <c r="H333">
        <f t="shared" ca="1" si="47"/>
        <v>105</v>
      </c>
      <c r="I333">
        <f t="shared" ca="1" si="40"/>
        <v>0</v>
      </c>
    </row>
    <row r="334" spans="1:9">
      <c r="A334">
        <f t="shared" si="41"/>
        <v>330</v>
      </c>
      <c r="B334">
        <f t="shared" ca="1" si="42"/>
        <v>9</v>
      </c>
      <c r="C334">
        <f t="shared" ca="1" si="43"/>
        <v>105</v>
      </c>
      <c r="D334">
        <f t="shared" ca="1" si="44"/>
        <v>114</v>
      </c>
      <c r="E334">
        <f ca="1">_xll.RiskBinomial($B$1,$B$2)</f>
        <v>110</v>
      </c>
      <c r="F334">
        <f t="shared" ca="1" si="45"/>
        <v>4</v>
      </c>
      <c r="G334">
        <f t="shared" ca="1" si="46"/>
        <v>110</v>
      </c>
      <c r="H334">
        <f t="shared" ca="1" si="47"/>
        <v>110</v>
      </c>
      <c r="I334">
        <f t="shared" ca="1" si="40"/>
        <v>0</v>
      </c>
    </row>
    <row r="335" spans="1:9">
      <c r="A335">
        <f t="shared" si="41"/>
        <v>331</v>
      </c>
      <c r="B335">
        <f t="shared" ca="1" si="42"/>
        <v>4</v>
      </c>
      <c r="C335">
        <f t="shared" ca="1" si="43"/>
        <v>110</v>
      </c>
      <c r="D335">
        <f t="shared" ca="1" si="44"/>
        <v>114</v>
      </c>
      <c r="E335">
        <f ca="1">_xll.RiskBinomial($B$1,$B$2)</f>
        <v>101</v>
      </c>
      <c r="F335">
        <f t="shared" ca="1" si="45"/>
        <v>13</v>
      </c>
      <c r="G335">
        <f t="shared" ca="1" si="46"/>
        <v>101</v>
      </c>
      <c r="H335">
        <f t="shared" ca="1" si="47"/>
        <v>101</v>
      </c>
      <c r="I335">
        <f t="shared" ca="1" si="40"/>
        <v>0</v>
      </c>
    </row>
    <row r="336" spans="1:9">
      <c r="A336">
        <f t="shared" si="41"/>
        <v>332</v>
      </c>
      <c r="B336">
        <f t="shared" ca="1" si="42"/>
        <v>13</v>
      </c>
      <c r="C336">
        <f t="shared" ca="1" si="43"/>
        <v>101</v>
      </c>
      <c r="D336">
        <f t="shared" ca="1" si="44"/>
        <v>114</v>
      </c>
      <c r="E336">
        <f ca="1">_xll.RiskBinomial($B$1,$B$2)</f>
        <v>108</v>
      </c>
      <c r="F336">
        <f t="shared" ca="1" si="45"/>
        <v>6</v>
      </c>
      <c r="G336">
        <f t="shared" ca="1" si="46"/>
        <v>108</v>
      </c>
      <c r="H336">
        <f t="shared" ca="1" si="47"/>
        <v>108</v>
      </c>
      <c r="I336">
        <f t="shared" ca="1" si="40"/>
        <v>0</v>
      </c>
    </row>
    <row r="337" spans="1:9">
      <c r="A337">
        <f t="shared" si="41"/>
        <v>333</v>
      </c>
      <c r="B337">
        <f t="shared" ca="1" si="42"/>
        <v>6</v>
      </c>
      <c r="C337">
        <f t="shared" ca="1" si="43"/>
        <v>108</v>
      </c>
      <c r="D337">
        <f t="shared" ca="1" si="44"/>
        <v>114</v>
      </c>
      <c r="E337">
        <f ca="1">_xll.RiskBinomial($B$1,$B$2)</f>
        <v>117</v>
      </c>
      <c r="F337">
        <f t="shared" ca="1" si="45"/>
        <v>-3</v>
      </c>
      <c r="G337">
        <f t="shared" ca="1" si="46"/>
        <v>117</v>
      </c>
      <c r="H337">
        <f t="shared" ca="1" si="47"/>
        <v>110</v>
      </c>
      <c r="I337">
        <f t="shared" ca="1" si="40"/>
        <v>1</v>
      </c>
    </row>
    <row r="338" spans="1:9">
      <c r="A338">
        <f t="shared" si="41"/>
        <v>334</v>
      </c>
      <c r="B338">
        <f t="shared" ca="1" si="42"/>
        <v>-3</v>
      </c>
      <c r="C338">
        <f t="shared" ca="1" si="43"/>
        <v>110</v>
      </c>
      <c r="D338">
        <f t="shared" ca="1" si="44"/>
        <v>107</v>
      </c>
      <c r="E338">
        <f ca="1">_xll.RiskBinomial($B$1,$B$2)</f>
        <v>84</v>
      </c>
      <c r="F338">
        <f t="shared" ca="1" si="45"/>
        <v>23</v>
      </c>
      <c r="G338">
        <f t="shared" ca="1" si="46"/>
        <v>91</v>
      </c>
      <c r="H338">
        <f t="shared" ca="1" si="47"/>
        <v>91</v>
      </c>
      <c r="I338">
        <f t="shared" ca="1" si="40"/>
        <v>0</v>
      </c>
    </row>
    <row r="339" spans="1:9">
      <c r="A339">
        <f t="shared" si="41"/>
        <v>335</v>
      </c>
      <c r="B339">
        <f t="shared" ca="1" si="42"/>
        <v>23</v>
      </c>
      <c r="C339">
        <f t="shared" ca="1" si="43"/>
        <v>91</v>
      </c>
      <c r="D339">
        <f t="shared" ca="1" si="44"/>
        <v>114</v>
      </c>
      <c r="E339">
        <f ca="1">_xll.RiskBinomial($B$1,$B$2)</f>
        <v>107</v>
      </c>
      <c r="F339">
        <f t="shared" ca="1" si="45"/>
        <v>7</v>
      </c>
      <c r="G339">
        <f t="shared" ca="1" si="46"/>
        <v>107</v>
      </c>
      <c r="H339">
        <f t="shared" ca="1" si="47"/>
        <v>107</v>
      </c>
      <c r="I339">
        <f t="shared" ca="1" si="40"/>
        <v>0</v>
      </c>
    </row>
    <row r="340" spans="1:9">
      <c r="A340">
        <f t="shared" si="41"/>
        <v>336</v>
      </c>
      <c r="B340">
        <f t="shared" ca="1" si="42"/>
        <v>7</v>
      </c>
      <c r="C340">
        <f t="shared" ca="1" si="43"/>
        <v>107</v>
      </c>
      <c r="D340">
        <f t="shared" ca="1" si="44"/>
        <v>114</v>
      </c>
      <c r="E340">
        <f ca="1">_xll.RiskBinomial($B$1,$B$2)</f>
        <v>102</v>
      </c>
      <c r="F340">
        <f t="shared" ca="1" si="45"/>
        <v>12</v>
      </c>
      <c r="G340">
        <f t="shared" ca="1" si="46"/>
        <v>102</v>
      </c>
      <c r="H340">
        <f t="shared" ca="1" si="47"/>
        <v>102</v>
      </c>
      <c r="I340">
        <f t="shared" ca="1" si="40"/>
        <v>0</v>
      </c>
    </row>
    <row r="341" spans="1:9">
      <c r="A341">
        <f t="shared" si="41"/>
        <v>337</v>
      </c>
      <c r="B341">
        <f t="shared" ca="1" si="42"/>
        <v>12</v>
      </c>
      <c r="C341">
        <f t="shared" ca="1" si="43"/>
        <v>102</v>
      </c>
      <c r="D341">
        <f t="shared" ca="1" si="44"/>
        <v>114</v>
      </c>
      <c r="E341">
        <f ca="1">_xll.RiskBinomial($B$1,$B$2)</f>
        <v>97</v>
      </c>
      <c r="F341">
        <f t="shared" ca="1" si="45"/>
        <v>17</v>
      </c>
      <c r="G341">
        <f t="shared" ca="1" si="46"/>
        <v>97</v>
      </c>
      <c r="H341">
        <f t="shared" ca="1" si="47"/>
        <v>97</v>
      </c>
      <c r="I341">
        <f t="shared" ca="1" si="40"/>
        <v>0</v>
      </c>
    </row>
    <row r="342" spans="1:9">
      <c r="A342">
        <f t="shared" si="41"/>
        <v>338</v>
      </c>
      <c r="B342">
        <f t="shared" ca="1" si="42"/>
        <v>17</v>
      </c>
      <c r="C342">
        <f t="shared" ca="1" si="43"/>
        <v>97</v>
      </c>
      <c r="D342">
        <f t="shared" ca="1" si="44"/>
        <v>114</v>
      </c>
      <c r="E342">
        <f ca="1">_xll.RiskBinomial($B$1,$B$2)</f>
        <v>98</v>
      </c>
      <c r="F342">
        <f t="shared" ca="1" si="45"/>
        <v>16</v>
      </c>
      <c r="G342">
        <f t="shared" ca="1" si="46"/>
        <v>98</v>
      </c>
      <c r="H342">
        <f t="shared" ca="1" si="47"/>
        <v>98</v>
      </c>
      <c r="I342">
        <f t="shared" ca="1" si="40"/>
        <v>0</v>
      </c>
    </row>
    <row r="343" spans="1:9">
      <c r="A343">
        <f t="shared" si="41"/>
        <v>339</v>
      </c>
      <c r="B343">
        <f t="shared" ca="1" si="42"/>
        <v>16</v>
      </c>
      <c r="C343">
        <f t="shared" ca="1" si="43"/>
        <v>98</v>
      </c>
      <c r="D343">
        <f t="shared" ca="1" si="44"/>
        <v>114</v>
      </c>
      <c r="E343">
        <f ca="1">_xll.RiskBinomial($B$1,$B$2)</f>
        <v>89</v>
      </c>
      <c r="F343">
        <f t="shared" ca="1" si="45"/>
        <v>25</v>
      </c>
      <c r="G343">
        <f t="shared" ca="1" si="46"/>
        <v>89</v>
      </c>
      <c r="H343">
        <f t="shared" ca="1" si="47"/>
        <v>89</v>
      </c>
      <c r="I343">
        <f t="shared" ca="1" si="40"/>
        <v>0</v>
      </c>
    </row>
    <row r="344" spans="1:9">
      <c r="A344">
        <f t="shared" si="41"/>
        <v>340</v>
      </c>
      <c r="B344">
        <f t="shared" ca="1" si="42"/>
        <v>25</v>
      </c>
      <c r="C344">
        <f t="shared" ca="1" si="43"/>
        <v>89</v>
      </c>
      <c r="D344">
        <f t="shared" ca="1" si="44"/>
        <v>114</v>
      </c>
      <c r="E344">
        <f ca="1">_xll.RiskBinomial($B$1,$B$2)</f>
        <v>107</v>
      </c>
      <c r="F344">
        <f t="shared" ca="1" si="45"/>
        <v>7</v>
      </c>
      <c r="G344">
        <f t="shared" ca="1" si="46"/>
        <v>107</v>
      </c>
      <c r="H344">
        <f t="shared" ca="1" si="47"/>
        <v>107</v>
      </c>
      <c r="I344">
        <f t="shared" ca="1" si="40"/>
        <v>0</v>
      </c>
    </row>
    <row r="345" spans="1:9">
      <c r="A345">
        <f t="shared" si="41"/>
        <v>341</v>
      </c>
      <c r="B345">
        <f t="shared" ca="1" si="42"/>
        <v>7</v>
      </c>
      <c r="C345">
        <f t="shared" ca="1" si="43"/>
        <v>107</v>
      </c>
      <c r="D345">
        <f t="shared" ca="1" si="44"/>
        <v>114</v>
      </c>
      <c r="E345">
        <f ca="1">_xll.RiskBinomial($B$1,$B$2)</f>
        <v>102</v>
      </c>
      <c r="F345">
        <f t="shared" ca="1" si="45"/>
        <v>12</v>
      </c>
      <c r="G345">
        <f t="shared" ca="1" si="46"/>
        <v>102</v>
      </c>
      <c r="H345">
        <f t="shared" ca="1" si="47"/>
        <v>102</v>
      </c>
      <c r="I345">
        <f t="shared" ca="1" si="40"/>
        <v>0</v>
      </c>
    </row>
    <row r="346" spans="1:9">
      <c r="A346">
        <f t="shared" si="41"/>
        <v>342</v>
      </c>
      <c r="B346">
        <f t="shared" ca="1" si="42"/>
        <v>12</v>
      </c>
      <c r="C346">
        <f t="shared" ca="1" si="43"/>
        <v>102</v>
      </c>
      <c r="D346">
        <f t="shared" ca="1" si="44"/>
        <v>114</v>
      </c>
      <c r="E346">
        <f ca="1">_xll.RiskBinomial($B$1,$B$2)</f>
        <v>113</v>
      </c>
      <c r="F346">
        <f t="shared" ca="1" si="45"/>
        <v>1</v>
      </c>
      <c r="G346">
        <f t="shared" ca="1" si="46"/>
        <v>113</v>
      </c>
      <c r="H346">
        <f t="shared" ca="1" si="47"/>
        <v>110</v>
      </c>
      <c r="I346">
        <f t="shared" ca="1" si="40"/>
        <v>0</v>
      </c>
    </row>
    <row r="347" spans="1:9">
      <c r="A347">
        <f t="shared" si="41"/>
        <v>343</v>
      </c>
      <c r="B347">
        <f t="shared" ca="1" si="42"/>
        <v>1</v>
      </c>
      <c r="C347">
        <f t="shared" ca="1" si="43"/>
        <v>110</v>
      </c>
      <c r="D347">
        <f t="shared" ca="1" si="44"/>
        <v>111</v>
      </c>
      <c r="E347">
        <f ca="1">_xll.RiskBinomial($B$1,$B$2)</f>
        <v>95</v>
      </c>
      <c r="F347">
        <f t="shared" ca="1" si="45"/>
        <v>16</v>
      </c>
      <c r="G347">
        <f t="shared" ca="1" si="46"/>
        <v>98</v>
      </c>
      <c r="H347">
        <f t="shared" ca="1" si="47"/>
        <v>98</v>
      </c>
      <c r="I347">
        <f t="shared" ca="1" si="40"/>
        <v>0</v>
      </c>
    </row>
    <row r="348" spans="1:9">
      <c r="A348">
        <f t="shared" si="41"/>
        <v>344</v>
      </c>
      <c r="B348">
        <f t="shared" ca="1" si="42"/>
        <v>16</v>
      </c>
      <c r="C348">
        <f t="shared" ca="1" si="43"/>
        <v>98</v>
      </c>
      <c r="D348">
        <f t="shared" ca="1" si="44"/>
        <v>114</v>
      </c>
      <c r="E348">
        <f ca="1">_xll.RiskBinomial($B$1,$B$2)</f>
        <v>76</v>
      </c>
      <c r="F348">
        <f t="shared" ca="1" si="45"/>
        <v>38</v>
      </c>
      <c r="G348">
        <f t="shared" ca="1" si="46"/>
        <v>76</v>
      </c>
      <c r="H348">
        <f t="shared" ca="1" si="47"/>
        <v>76</v>
      </c>
      <c r="I348">
        <f t="shared" ca="1" si="40"/>
        <v>0</v>
      </c>
    </row>
    <row r="349" spans="1:9">
      <c r="A349">
        <f t="shared" si="41"/>
        <v>345</v>
      </c>
      <c r="B349">
        <f t="shared" ca="1" si="42"/>
        <v>38</v>
      </c>
      <c r="C349">
        <f t="shared" ca="1" si="43"/>
        <v>76</v>
      </c>
      <c r="D349">
        <f t="shared" ca="1" si="44"/>
        <v>114</v>
      </c>
      <c r="E349">
        <f ca="1">_xll.RiskBinomial($B$1,$B$2)</f>
        <v>101</v>
      </c>
      <c r="F349">
        <f t="shared" ca="1" si="45"/>
        <v>13</v>
      </c>
      <c r="G349">
        <f t="shared" ca="1" si="46"/>
        <v>101</v>
      </c>
      <c r="H349">
        <f t="shared" ca="1" si="47"/>
        <v>101</v>
      </c>
      <c r="I349">
        <f t="shared" ca="1" si="40"/>
        <v>0</v>
      </c>
    </row>
    <row r="350" spans="1:9">
      <c r="A350">
        <f t="shared" si="41"/>
        <v>346</v>
      </c>
      <c r="B350">
        <f t="shared" ca="1" si="42"/>
        <v>13</v>
      </c>
      <c r="C350">
        <f t="shared" ca="1" si="43"/>
        <v>101</v>
      </c>
      <c r="D350">
        <f t="shared" ca="1" si="44"/>
        <v>114</v>
      </c>
      <c r="E350">
        <f ca="1">_xll.RiskBinomial($B$1,$B$2)</f>
        <v>92</v>
      </c>
      <c r="F350">
        <f t="shared" ca="1" si="45"/>
        <v>22</v>
      </c>
      <c r="G350">
        <f t="shared" ca="1" si="46"/>
        <v>92</v>
      </c>
      <c r="H350">
        <f t="shared" ca="1" si="47"/>
        <v>92</v>
      </c>
      <c r="I350">
        <f t="shared" ca="1" si="40"/>
        <v>0</v>
      </c>
    </row>
    <row r="351" spans="1:9">
      <c r="A351">
        <f t="shared" si="41"/>
        <v>347</v>
      </c>
      <c r="B351">
        <f t="shared" ca="1" si="42"/>
        <v>22</v>
      </c>
      <c r="C351">
        <f t="shared" ca="1" si="43"/>
        <v>92</v>
      </c>
      <c r="D351">
        <f t="shared" ca="1" si="44"/>
        <v>114</v>
      </c>
      <c r="E351">
        <f ca="1">_xll.RiskBinomial($B$1,$B$2)</f>
        <v>104</v>
      </c>
      <c r="F351">
        <f t="shared" ca="1" si="45"/>
        <v>10</v>
      </c>
      <c r="G351">
        <f t="shared" ca="1" si="46"/>
        <v>104</v>
      </c>
      <c r="H351">
        <f t="shared" ca="1" si="47"/>
        <v>104</v>
      </c>
      <c r="I351">
        <f t="shared" ca="1" si="40"/>
        <v>0</v>
      </c>
    </row>
    <row r="352" spans="1:9">
      <c r="A352">
        <f t="shared" si="41"/>
        <v>348</v>
      </c>
      <c r="B352">
        <f t="shared" ca="1" si="42"/>
        <v>10</v>
      </c>
      <c r="C352">
        <f t="shared" ca="1" si="43"/>
        <v>104</v>
      </c>
      <c r="D352">
        <f t="shared" ca="1" si="44"/>
        <v>114</v>
      </c>
      <c r="E352">
        <f ca="1">_xll.RiskBinomial($B$1,$B$2)</f>
        <v>102</v>
      </c>
      <c r="F352">
        <f t="shared" ca="1" si="45"/>
        <v>12</v>
      </c>
      <c r="G352">
        <f t="shared" ca="1" si="46"/>
        <v>102</v>
      </c>
      <c r="H352">
        <f t="shared" ca="1" si="47"/>
        <v>102</v>
      </c>
      <c r="I352">
        <f t="shared" ca="1" si="40"/>
        <v>0</v>
      </c>
    </row>
    <row r="353" spans="1:9">
      <c r="A353">
        <f t="shared" si="41"/>
        <v>349</v>
      </c>
      <c r="B353">
        <f t="shared" ca="1" si="42"/>
        <v>12</v>
      </c>
      <c r="C353">
        <f t="shared" ca="1" si="43"/>
        <v>102</v>
      </c>
      <c r="D353">
        <f t="shared" ca="1" si="44"/>
        <v>114</v>
      </c>
      <c r="E353">
        <f ca="1">_xll.RiskBinomial($B$1,$B$2)</f>
        <v>93</v>
      </c>
      <c r="F353">
        <f t="shared" ca="1" si="45"/>
        <v>21</v>
      </c>
      <c r="G353">
        <f t="shared" ca="1" si="46"/>
        <v>93</v>
      </c>
      <c r="H353">
        <f t="shared" ca="1" si="47"/>
        <v>93</v>
      </c>
      <c r="I353">
        <f t="shared" ca="1" si="40"/>
        <v>0</v>
      </c>
    </row>
    <row r="354" spans="1:9">
      <c r="A354">
        <f t="shared" si="41"/>
        <v>350</v>
      </c>
      <c r="B354">
        <f t="shared" ca="1" si="42"/>
        <v>21</v>
      </c>
      <c r="C354">
        <f t="shared" ca="1" si="43"/>
        <v>93</v>
      </c>
      <c r="D354">
        <f t="shared" ca="1" si="44"/>
        <v>114</v>
      </c>
      <c r="E354">
        <f ca="1">_xll.RiskBinomial($B$1,$B$2)</f>
        <v>97</v>
      </c>
      <c r="F354">
        <f t="shared" ca="1" si="45"/>
        <v>17</v>
      </c>
      <c r="G354">
        <f t="shared" ca="1" si="46"/>
        <v>97</v>
      </c>
      <c r="H354">
        <f t="shared" ca="1" si="47"/>
        <v>97</v>
      </c>
      <c r="I354">
        <f t="shared" ca="1" si="40"/>
        <v>0</v>
      </c>
    </row>
    <row r="355" spans="1:9">
      <c r="A355">
        <f t="shared" si="41"/>
        <v>351</v>
      </c>
      <c r="B355">
        <f t="shared" ca="1" si="42"/>
        <v>17</v>
      </c>
      <c r="C355">
        <f t="shared" ca="1" si="43"/>
        <v>97</v>
      </c>
      <c r="D355">
        <f t="shared" ca="1" si="44"/>
        <v>114</v>
      </c>
      <c r="E355">
        <f ca="1">_xll.RiskBinomial($B$1,$B$2)</f>
        <v>95</v>
      </c>
      <c r="F355">
        <f t="shared" ca="1" si="45"/>
        <v>19</v>
      </c>
      <c r="G355">
        <f t="shared" ca="1" si="46"/>
        <v>95</v>
      </c>
      <c r="H355">
        <f t="shared" ca="1" si="47"/>
        <v>95</v>
      </c>
      <c r="I355">
        <f t="shared" ca="1" si="40"/>
        <v>0</v>
      </c>
    </row>
    <row r="356" spans="1:9">
      <c r="A356">
        <f t="shared" si="41"/>
        <v>352</v>
      </c>
      <c r="B356">
        <f t="shared" ca="1" si="42"/>
        <v>19</v>
      </c>
      <c r="C356">
        <f t="shared" ca="1" si="43"/>
        <v>95</v>
      </c>
      <c r="D356">
        <f t="shared" ca="1" si="44"/>
        <v>114</v>
      </c>
      <c r="E356">
        <f ca="1">_xll.RiskBinomial($B$1,$B$2)</f>
        <v>104</v>
      </c>
      <c r="F356">
        <f t="shared" ca="1" si="45"/>
        <v>10</v>
      </c>
      <c r="G356">
        <f t="shared" ca="1" si="46"/>
        <v>104</v>
      </c>
      <c r="H356">
        <f t="shared" ca="1" si="47"/>
        <v>104</v>
      </c>
      <c r="I356">
        <f t="shared" ca="1" si="40"/>
        <v>0</v>
      </c>
    </row>
    <row r="357" spans="1:9">
      <c r="A357">
        <f t="shared" si="41"/>
        <v>353</v>
      </c>
      <c r="B357">
        <f t="shared" ca="1" si="42"/>
        <v>10</v>
      </c>
      <c r="C357">
        <f t="shared" ca="1" si="43"/>
        <v>104</v>
      </c>
      <c r="D357">
        <f t="shared" ca="1" si="44"/>
        <v>114</v>
      </c>
      <c r="E357">
        <f ca="1">_xll.RiskBinomial($B$1,$B$2)</f>
        <v>118</v>
      </c>
      <c r="F357">
        <f t="shared" ca="1" si="45"/>
        <v>-4</v>
      </c>
      <c r="G357">
        <f t="shared" ca="1" si="46"/>
        <v>118</v>
      </c>
      <c r="H357">
        <f t="shared" ca="1" si="47"/>
        <v>110</v>
      </c>
      <c r="I357">
        <f t="shared" ca="1" si="40"/>
        <v>1</v>
      </c>
    </row>
    <row r="358" spans="1:9">
      <c r="A358">
        <f t="shared" si="41"/>
        <v>354</v>
      </c>
      <c r="B358">
        <f t="shared" ca="1" si="42"/>
        <v>-4</v>
      </c>
      <c r="C358">
        <f t="shared" ca="1" si="43"/>
        <v>110</v>
      </c>
      <c r="D358">
        <f t="shared" ca="1" si="44"/>
        <v>106</v>
      </c>
      <c r="E358">
        <f ca="1">_xll.RiskBinomial($B$1,$B$2)</f>
        <v>107</v>
      </c>
      <c r="F358">
        <f t="shared" ca="1" si="45"/>
        <v>-1</v>
      </c>
      <c r="G358">
        <f t="shared" ca="1" si="46"/>
        <v>115</v>
      </c>
      <c r="H358">
        <f t="shared" ca="1" si="47"/>
        <v>110</v>
      </c>
      <c r="I358">
        <f t="shared" ca="1" si="40"/>
        <v>1</v>
      </c>
    </row>
    <row r="359" spans="1:9">
      <c r="A359">
        <f t="shared" si="41"/>
        <v>355</v>
      </c>
      <c r="B359">
        <f t="shared" ca="1" si="42"/>
        <v>-1</v>
      </c>
      <c r="C359">
        <f t="shared" ca="1" si="43"/>
        <v>110</v>
      </c>
      <c r="D359">
        <f t="shared" ca="1" si="44"/>
        <v>109</v>
      </c>
      <c r="E359">
        <f ca="1">_xll.RiskBinomial($B$1,$B$2)</f>
        <v>95</v>
      </c>
      <c r="F359">
        <f t="shared" ca="1" si="45"/>
        <v>14</v>
      </c>
      <c r="G359">
        <f t="shared" ca="1" si="46"/>
        <v>100</v>
      </c>
      <c r="H359">
        <f t="shared" ca="1" si="47"/>
        <v>100</v>
      </c>
      <c r="I359">
        <f t="shared" ca="1" si="40"/>
        <v>0</v>
      </c>
    </row>
    <row r="360" spans="1:9">
      <c r="A360">
        <f t="shared" si="41"/>
        <v>356</v>
      </c>
      <c r="B360">
        <f t="shared" ca="1" si="42"/>
        <v>14</v>
      </c>
      <c r="C360">
        <f t="shared" ca="1" si="43"/>
        <v>100</v>
      </c>
      <c r="D360">
        <f t="shared" ca="1" si="44"/>
        <v>114</v>
      </c>
      <c r="E360">
        <f ca="1">_xll.RiskBinomial($B$1,$B$2)</f>
        <v>94</v>
      </c>
      <c r="F360">
        <f t="shared" ca="1" si="45"/>
        <v>20</v>
      </c>
      <c r="G360">
        <f t="shared" ca="1" si="46"/>
        <v>94</v>
      </c>
      <c r="H360">
        <f t="shared" ca="1" si="47"/>
        <v>94</v>
      </c>
      <c r="I360">
        <f t="shared" ca="1" si="40"/>
        <v>0</v>
      </c>
    </row>
    <row r="361" spans="1:9">
      <c r="A361">
        <f t="shared" si="41"/>
        <v>357</v>
      </c>
      <c r="B361">
        <f t="shared" ca="1" si="42"/>
        <v>20</v>
      </c>
      <c r="C361">
        <f t="shared" ca="1" si="43"/>
        <v>94</v>
      </c>
      <c r="D361">
        <f t="shared" ca="1" si="44"/>
        <v>114</v>
      </c>
      <c r="E361">
        <f ca="1">_xll.RiskBinomial($B$1,$B$2)</f>
        <v>102</v>
      </c>
      <c r="F361">
        <f t="shared" ca="1" si="45"/>
        <v>12</v>
      </c>
      <c r="G361">
        <f t="shared" ca="1" si="46"/>
        <v>102</v>
      </c>
      <c r="H361">
        <f t="shared" ca="1" si="47"/>
        <v>102</v>
      </c>
      <c r="I361">
        <f t="shared" ca="1" si="40"/>
        <v>0</v>
      </c>
    </row>
    <row r="362" spans="1:9">
      <c r="A362">
        <f t="shared" si="41"/>
        <v>358</v>
      </c>
      <c r="B362">
        <f t="shared" ca="1" si="42"/>
        <v>12</v>
      </c>
      <c r="C362">
        <f t="shared" ca="1" si="43"/>
        <v>102</v>
      </c>
      <c r="D362">
        <f t="shared" ca="1" si="44"/>
        <v>114</v>
      </c>
      <c r="E362">
        <f ca="1">_xll.RiskBinomial($B$1,$B$2)</f>
        <v>92</v>
      </c>
      <c r="F362">
        <f t="shared" ca="1" si="45"/>
        <v>22</v>
      </c>
      <c r="G362">
        <f t="shared" ca="1" si="46"/>
        <v>92</v>
      </c>
      <c r="H362">
        <f t="shared" ca="1" si="47"/>
        <v>92</v>
      </c>
      <c r="I362">
        <f t="shared" ca="1" si="40"/>
        <v>0</v>
      </c>
    </row>
    <row r="363" spans="1:9">
      <c r="A363">
        <f t="shared" si="41"/>
        <v>359</v>
      </c>
      <c r="B363">
        <f t="shared" ca="1" si="42"/>
        <v>22</v>
      </c>
      <c r="C363">
        <f t="shared" ca="1" si="43"/>
        <v>92</v>
      </c>
      <c r="D363">
        <f t="shared" ca="1" si="44"/>
        <v>114</v>
      </c>
      <c r="E363">
        <f ca="1">_xll.RiskBinomial($B$1,$B$2)</f>
        <v>101</v>
      </c>
      <c r="F363">
        <f t="shared" ca="1" si="45"/>
        <v>13</v>
      </c>
      <c r="G363">
        <f t="shared" ca="1" si="46"/>
        <v>101</v>
      </c>
      <c r="H363">
        <f t="shared" ca="1" si="47"/>
        <v>101</v>
      </c>
      <c r="I363">
        <f t="shared" ca="1" si="40"/>
        <v>0</v>
      </c>
    </row>
    <row r="364" spans="1:9">
      <c r="A364">
        <f t="shared" si="41"/>
        <v>360</v>
      </c>
      <c r="B364">
        <f t="shared" ca="1" si="42"/>
        <v>13</v>
      </c>
      <c r="C364">
        <f t="shared" ca="1" si="43"/>
        <v>101</v>
      </c>
      <c r="D364">
        <f t="shared" ca="1" si="44"/>
        <v>114</v>
      </c>
      <c r="E364">
        <f ca="1">_xll.RiskBinomial($B$1,$B$2)</f>
        <v>106</v>
      </c>
      <c r="F364">
        <f t="shared" ca="1" si="45"/>
        <v>8</v>
      </c>
      <c r="G364">
        <f t="shared" ca="1" si="46"/>
        <v>106</v>
      </c>
      <c r="H364">
        <f t="shared" ca="1" si="47"/>
        <v>106</v>
      </c>
      <c r="I364">
        <f t="shared" ca="1" si="40"/>
        <v>0</v>
      </c>
    </row>
    <row r="365" spans="1:9">
      <c r="A365">
        <f t="shared" si="41"/>
        <v>361</v>
      </c>
      <c r="B365">
        <f t="shared" ca="1" si="42"/>
        <v>8</v>
      </c>
      <c r="C365">
        <f t="shared" ca="1" si="43"/>
        <v>106</v>
      </c>
      <c r="D365">
        <f t="shared" ca="1" si="44"/>
        <v>114</v>
      </c>
      <c r="E365">
        <f ca="1">_xll.RiskBinomial($B$1,$B$2)</f>
        <v>86</v>
      </c>
      <c r="F365">
        <f t="shared" ca="1" si="45"/>
        <v>28</v>
      </c>
      <c r="G365">
        <f t="shared" ca="1" si="46"/>
        <v>86</v>
      </c>
      <c r="H365">
        <f t="shared" ca="1" si="47"/>
        <v>86</v>
      </c>
      <c r="I365">
        <f t="shared" ca="1" si="40"/>
        <v>0</v>
      </c>
    </row>
    <row r="366" spans="1:9">
      <c r="A366">
        <f t="shared" si="41"/>
        <v>362</v>
      </c>
      <c r="B366">
        <f t="shared" ca="1" si="42"/>
        <v>28</v>
      </c>
      <c r="C366">
        <f t="shared" ca="1" si="43"/>
        <v>86</v>
      </c>
      <c r="D366">
        <f t="shared" ca="1" si="44"/>
        <v>114</v>
      </c>
      <c r="E366">
        <f ca="1">_xll.RiskBinomial($B$1,$B$2)</f>
        <v>99</v>
      </c>
      <c r="F366">
        <f t="shared" ca="1" si="45"/>
        <v>15</v>
      </c>
      <c r="G366">
        <f t="shared" ca="1" si="46"/>
        <v>99</v>
      </c>
      <c r="H366">
        <f t="shared" ca="1" si="47"/>
        <v>99</v>
      </c>
      <c r="I366">
        <f t="shared" ca="1" si="40"/>
        <v>0</v>
      </c>
    </row>
    <row r="367" spans="1:9">
      <c r="A367">
        <f t="shared" si="41"/>
        <v>363</v>
      </c>
      <c r="B367">
        <f t="shared" ca="1" si="42"/>
        <v>15</v>
      </c>
      <c r="C367">
        <f t="shared" ca="1" si="43"/>
        <v>99</v>
      </c>
      <c r="D367">
        <f t="shared" ca="1" si="44"/>
        <v>114</v>
      </c>
      <c r="E367">
        <f ca="1">_xll.RiskBinomial($B$1,$B$2)</f>
        <v>98</v>
      </c>
      <c r="F367">
        <f t="shared" ca="1" si="45"/>
        <v>16</v>
      </c>
      <c r="G367">
        <f t="shared" ca="1" si="46"/>
        <v>98</v>
      </c>
      <c r="H367">
        <f t="shared" ca="1" si="47"/>
        <v>98</v>
      </c>
      <c r="I367">
        <f t="shared" ca="1" si="40"/>
        <v>0</v>
      </c>
    </row>
    <row r="368" spans="1:9">
      <c r="A368">
        <f t="shared" si="41"/>
        <v>364</v>
      </c>
      <c r="B368">
        <f t="shared" ca="1" si="42"/>
        <v>16</v>
      </c>
      <c r="C368">
        <f t="shared" ca="1" si="43"/>
        <v>98</v>
      </c>
      <c r="D368">
        <f t="shared" ca="1" si="44"/>
        <v>114</v>
      </c>
      <c r="E368">
        <f ca="1">_xll.RiskBinomial($B$1,$B$2)</f>
        <v>113</v>
      </c>
      <c r="F368">
        <f t="shared" ca="1" si="45"/>
        <v>1</v>
      </c>
      <c r="G368">
        <f t="shared" ca="1" si="46"/>
        <v>113</v>
      </c>
      <c r="H368">
        <f t="shared" ca="1" si="47"/>
        <v>110</v>
      </c>
      <c r="I368">
        <f t="shared" ca="1" si="40"/>
        <v>0</v>
      </c>
    </row>
    <row r="369" spans="1:9">
      <c r="A369">
        <f t="shared" si="41"/>
        <v>365</v>
      </c>
      <c r="B369">
        <f t="shared" ca="1" si="42"/>
        <v>1</v>
      </c>
      <c r="C369">
        <f t="shared" ca="1" si="43"/>
        <v>110</v>
      </c>
      <c r="D369">
        <f t="shared" ca="1" si="44"/>
        <v>111</v>
      </c>
      <c r="E369">
        <f ca="1">_xll.RiskBinomial($B$1,$B$2)</f>
        <v>119</v>
      </c>
      <c r="F369">
        <f t="shared" ca="1" si="45"/>
        <v>-8</v>
      </c>
      <c r="G369">
        <f t="shared" ca="1" si="46"/>
        <v>122</v>
      </c>
      <c r="H369">
        <f t="shared" ca="1" si="47"/>
        <v>110</v>
      </c>
      <c r="I369">
        <f t="shared" ca="1" si="40"/>
        <v>1</v>
      </c>
    </row>
    <row r="370" spans="1:9">
      <c r="A370">
        <f t="shared" si="41"/>
        <v>366</v>
      </c>
      <c r="B370">
        <f t="shared" ca="1" si="42"/>
        <v>-8</v>
      </c>
      <c r="C370">
        <f t="shared" ca="1" si="43"/>
        <v>110</v>
      </c>
      <c r="D370">
        <f t="shared" ca="1" si="44"/>
        <v>102</v>
      </c>
      <c r="E370">
        <f ca="1">_xll.RiskBinomial($B$1,$B$2)</f>
        <v>107</v>
      </c>
      <c r="F370">
        <f t="shared" ca="1" si="45"/>
        <v>-5</v>
      </c>
      <c r="G370">
        <f t="shared" ca="1" si="46"/>
        <v>119</v>
      </c>
      <c r="H370">
        <f t="shared" ca="1" si="47"/>
        <v>110</v>
      </c>
      <c r="I370">
        <f t="shared" ca="1" si="40"/>
        <v>1</v>
      </c>
    </row>
    <row r="371" spans="1:9">
      <c r="A371">
        <f t="shared" si="41"/>
        <v>367</v>
      </c>
      <c r="B371">
        <f t="shared" ca="1" si="42"/>
        <v>-5</v>
      </c>
      <c r="C371">
        <f t="shared" ca="1" si="43"/>
        <v>110</v>
      </c>
      <c r="D371">
        <f t="shared" ca="1" si="44"/>
        <v>105</v>
      </c>
      <c r="E371">
        <f ca="1">_xll.RiskBinomial($B$1,$B$2)</f>
        <v>92</v>
      </c>
      <c r="F371">
        <f t="shared" ca="1" si="45"/>
        <v>13</v>
      </c>
      <c r="G371">
        <f t="shared" ca="1" si="46"/>
        <v>101</v>
      </c>
      <c r="H371">
        <f t="shared" ca="1" si="47"/>
        <v>101</v>
      </c>
      <c r="I371">
        <f t="shared" ca="1" si="40"/>
        <v>0</v>
      </c>
    </row>
    <row r="372" spans="1:9">
      <c r="A372">
        <f t="shared" si="41"/>
        <v>368</v>
      </c>
      <c r="B372">
        <f t="shared" ca="1" si="42"/>
        <v>13</v>
      </c>
      <c r="C372">
        <f t="shared" ca="1" si="43"/>
        <v>101</v>
      </c>
      <c r="D372">
        <f t="shared" ca="1" si="44"/>
        <v>114</v>
      </c>
      <c r="E372">
        <f ca="1">_xll.RiskBinomial($B$1,$B$2)</f>
        <v>97</v>
      </c>
      <c r="F372">
        <f t="shared" ca="1" si="45"/>
        <v>17</v>
      </c>
      <c r="G372">
        <f t="shared" ca="1" si="46"/>
        <v>97</v>
      </c>
      <c r="H372">
        <f t="shared" ca="1" si="47"/>
        <v>97</v>
      </c>
      <c r="I372">
        <f t="shared" ca="1" si="40"/>
        <v>0</v>
      </c>
    </row>
    <row r="373" spans="1:9">
      <c r="A373">
        <f t="shared" si="41"/>
        <v>369</v>
      </c>
      <c r="B373">
        <f t="shared" ca="1" si="42"/>
        <v>17</v>
      </c>
      <c r="C373">
        <f t="shared" ca="1" si="43"/>
        <v>97</v>
      </c>
      <c r="D373">
        <f t="shared" ca="1" si="44"/>
        <v>114</v>
      </c>
      <c r="E373">
        <f ca="1">_xll.RiskBinomial($B$1,$B$2)</f>
        <v>102</v>
      </c>
      <c r="F373">
        <f t="shared" ca="1" si="45"/>
        <v>12</v>
      </c>
      <c r="G373">
        <f t="shared" ca="1" si="46"/>
        <v>102</v>
      </c>
      <c r="H373">
        <f t="shared" ca="1" si="47"/>
        <v>102</v>
      </c>
      <c r="I373">
        <f t="shared" ca="1" si="40"/>
        <v>0</v>
      </c>
    </row>
    <row r="374" spans="1:9">
      <c r="A374">
        <f t="shared" si="41"/>
        <v>370</v>
      </c>
      <c r="B374">
        <f t="shared" ca="1" si="42"/>
        <v>12</v>
      </c>
      <c r="C374">
        <f t="shared" ca="1" si="43"/>
        <v>102</v>
      </c>
      <c r="D374">
        <f t="shared" ca="1" si="44"/>
        <v>114</v>
      </c>
      <c r="E374">
        <f ca="1">_xll.RiskBinomial($B$1,$B$2)</f>
        <v>103</v>
      </c>
      <c r="F374">
        <f t="shared" ca="1" si="45"/>
        <v>11</v>
      </c>
      <c r="G374">
        <f t="shared" ca="1" si="46"/>
        <v>103</v>
      </c>
      <c r="H374">
        <f t="shared" ca="1" si="47"/>
        <v>103</v>
      </c>
      <c r="I374">
        <f t="shared" ca="1" si="40"/>
        <v>0</v>
      </c>
    </row>
    <row r="375" spans="1:9">
      <c r="A375">
        <f t="shared" si="41"/>
        <v>371</v>
      </c>
      <c r="B375">
        <f t="shared" ca="1" si="42"/>
        <v>11</v>
      </c>
      <c r="C375">
        <f t="shared" ca="1" si="43"/>
        <v>103</v>
      </c>
      <c r="D375">
        <f t="shared" ca="1" si="44"/>
        <v>114</v>
      </c>
      <c r="E375">
        <f ca="1">_xll.RiskBinomial($B$1,$B$2)</f>
        <v>79</v>
      </c>
      <c r="F375">
        <f t="shared" ca="1" si="45"/>
        <v>35</v>
      </c>
      <c r="G375">
        <f t="shared" ca="1" si="46"/>
        <v>79</v>
      </c>
      <c r="H375">
        <f t="shared" ca="1" si="47"/>
        <v>79</v>
      </c>
      <c r="I375">
        <f t="shared" ca="1" si="40"/>
        <v>0</v>
      </c>
    </row>
    <row r="376" spans="1:9">
      <c r="A376">
        <f t="shared" si="41"/>
        <v>372</v>
      </c>
      <c r="B376">
        <f t="shared" ca="1" si="42"/>
        <v>35</v>
      </c>
      <c r="C376">
        <f t="shared" ca="1" si="43"/>
        <v>79</v>
      </c>
      <c r="D376">
        <f t="shared" ca="1" si="44"/>
        <v>114</v>
      </c>
      <c r="E376">
        <f ca="1">_xll.RiskBinomial($B$1,$B$2)</f>
        <v>91</v>
      </c>
      <c r="F376">
        <f t="shared" ca="1" si="45"/>
        <v>23</v>
      </c>
      <c r="G376">
        <f t="shared" ca="1" si="46"/>
        <v>91</v>
      </c>
      <c r="H376">
        <f t="shared" ca="1" si="47"/>
        <v>91</v>
      </c>
      <c r="I376">
        <f t="shared" ca="1" si="40"/>
        <v>0</v>
      </c>
    </row>
    <row r="377" spans="1:9">
      <c r="A377">
        <f t="shared" si="41"/>
        <v>373</v>
      </c>
      <c r="B377">
        <f t="shared" ca="1" si="42"/>
        <v>23</v>
      </c>
      <c r="C377">
        <f t="shared" ca="1" si="43"/>
        <v>91</v>
      </c>
      <c r="D377">
        <f t="shared" ca="1" si="44"/>
        <v>114</v>
      </c>
      <c r="E377">
        <f ca="1">_xll.RiskBinomial($B$1,$B$2)</f>
        <v>92</v>
      </c>
      <c r="F377">
        <f t="shared" ca="1" si="45"/>
        <v>22</v>
      </c>
      <c r="G377">
        <f t="shared" ca="1" si="46"/>
        <v>92</v>
      </c>
      <c r="H377">
        <f t="shared" ca="1" si="47"/>
        <v>92</v>
      </c>
      <c r="I377">
        <f t="shared" ca="1" si="40"/>
        <v>0</v>
      </c>
    </row>
    <row r="378" spans="1:9">
      <c r="A378">
        <f t="shared" si="41"/>
        <v>374</v>
      </c>
      <c r="B378">
        <f t="shared" ca="1" si="42"/>
        <v>22</v>
      </c>
      <c r="C378">
        <f t="shared" ca="1" si="43"/>
        <v>92</v>
      </c>
      <c r="D378">
        <f t="shared" ca="1" si="44"/>
        <v>114</v>
      </c>
      <c r="E378">
        <f ca="1">_xll.RiskBinomial($B$1,$B$2)</f>
        <v>103</v>
      </c>
      <c r="F378">
        <f t="shared" ca="1" si="45"/>
        <v>11</v>
      </c>
      <c r="G378">
        <f t="shared" ca="1" si="46"/>
        <v>103</v>
      </c>
      <c r="H378">
        <f t="shared" ca="1" si="47"/>
        <v>103</v>
      </c>
      <c r="I378">
        <f t="shared" ca="1" si="40"/>
        <v>0</v>
      </c>
    </row>
    <row r="379" spans="1:9">
      <c r="A379">
        <f t="shared" si="41"/>
        <v>375</v>
      </c>
      <c r="B379">
        <f t="shared" ca="1" si="42"/>
        <v>11</v>
      </c>
      <c r="C379">
        <f t="shared" ca="1" si="43"/>
        <v>103</v>
      </c>
      <c r="D379">
        <f t="shared" ca="1" si="44"/>
        <v>114</v>
      </c>
      <c r="E379">
        <f ca="1">_xll.RiskBinomial($B$1,$B$2)</f>
        <v>86</v>
      </c>
      <c r="F379">
        <f t="shared" ca="1" si="45"/>
        <v>28</v>
      </c>
      <c r="G379">
        <f t="shared" ca="1" si="46"/>
        <v>86</v>
      </c>
      <c r="H379">
        <f t="shared" ca="1" si="47"/>
        <v>86</v>
      </c>
      <c r="I379">
        <f t="shared" ca="1" si="40"/>
        <v>0</v>
      </c>
    </row>
    <row r="380" spans="1:9">
      <c r="A380">
        <f t="shared" si="41"/>
        <v>376</v>
      </c>
      <c r="B380">
        <f t="shared" ca="1" si="42"/>
        <v>28</v>
      </c>
      <c r="C380">
        <f t="shared" ca="1" si="43"/>
        <v>86</v>
      </c>
      <c r="D380">
        <f t="shared" ca="1" si="44"/>
        <v>114</v>
      </c>
      <c r="E380">
        <f ca="1">_xll.RiskBinomial($B$1,$B$2)</f>
        <v>92</v>
      </c>
      <c r="F380">
        <f t="shared" ca="1" si="45"/>
        <v>22</v>
      </c>
      <c r="G380">
        <f t="shared" ca="1" si="46"/>
        <v>92</v>
      </c>
      <c r="H380">
        <f t="shared" ca="1" si="47"/>
        <v>92</v>
      </c>
      <c r="I380">
        <f t="shared" ca="1" si="40"/>
        <v>0</v>
      </c>
    </row>
    <row r="381" spans="1:9">
      <c r="A381">
        <f t="shared" si="41"/>
        <v>377</v>
      </c>
      <c r="B381">
        <f t="shared" ca="1" si="42"/>
        <v>22</v>
      </c>
      <c r="C381">
        <f t="shared" ca="1" si="43"/>
        <v>92</v>
      </c>
      <c r="D381">
        <f t="shared" ca="1" si="44"/>
        <v>114</v>
      </c>
      <c r="E381">
        <f ca="1">_xll.RiskBinomial($B$1,$B$2)</f>
        <v>89</v>
      </c>
      <c r="F381">
        <f t="shared" ca="1" si="45"/>
        <v>25</v>
      </c>
      <c r="G381">
        <f t="shared" ca="1" si="46"/>
        <v>89</v>
      </c>
      <c r="H381">
        <f t="shared" ca="1" si="47"/>
        <v>89</v>
      </c>
      <c r="I381">
        <f t="shared" ca="1" si="40"/>
        <v>0</v>
      </c>
    </row>
    <row r="382" spans="1:9">
      <c r="A382">
        <f t="shared" si="41"/>
        <v>378</v>
      </c>
      <c r="B382">
        <f t="shared" ca="1" si="42"/>
        <v>25</v>
      </c>
      <c r="C382">
        <f t="shared" ca="1" si="43"/>
        <v>89</v>
      </c>
      <c r="D382">
        <f t="shared" ca="1" si="44"/>
        <v>114</v>
      </c>
      <c r="E382">
        <f ca="1">_xll.RiskBinomial($B$1,$B$2)</f>
        <v>94</v>
      </c>
      <c r="F382">
        <f t="shared" ca="1" si="45"/>
        <v>20</v>
      </c>
      <c r="G382">
        <f t="shared" ca="1" si="46"/>
        <v>94</v>
      </c>
      <c r="H382">
        <f t="shared" ca="1" si="47"/>
        <v>94</v>
      </c>
      <c r="I382">
        <f t="shared" ca="1" si="40"/>
        <v>0</v>
      </c>
    </row>
    <row r="383" spans="1:9">
      <c r="A383">
        <f t="shared" si="41"/>
        <v>379</v>
      </c>
      <c r="B383">
        <f t="shared" ca="1" si="42"/>
        <v>20</v>
      </c>
      <c r="C383">
        <f t="shared" ca="1" si="43"/>
        <v>94</v>
      </c>
      <c r="D383">
        <f t="shared" ca="1" si="44"/>
        <v>114</v>
      </c>
      <c r="E383">
        <f ca="1">_xll.RiskBinomial($B$1,$B$2)</f>
        <v>102</v>
      </c>
      <c r="F383">
        <f t="shared" ca="1" si="45"/>
        <v>12</v>
      </c>
      <c r="G383">
        <f t="shared" ca="1" si="46"/>
        <v>102</v>
      </c>
      <c r="H383">
        <f t="shared" ca="1" si="47"/>
        <v>102</v>
      </c>
      <c r="I383">
        <f t="shared" ca="1" si="40"/>
        <v>0</v>
      </c>
    </row>
    <row r="384" spans="1:9">
      <c r="A384">
        <f t="shared" si="41"/>
        <v>380</v>
      </c>
      <c r="B384">
        <f t="shared" ca="1" si="42"/>
        <v>12</v>
      </c>
      <c r="C384">
        <f t="shared" ca="1" si="43"/>
        <v>102</v>
      </c>
      <c r="D384">
        <f t="shared" ca="1" si="44"/>
        <v>114</v>
      </c>
      <c r="E384">
        <f ca="1">_xll.RiskBinomial($B$1,$B$2)</f>
        <v>112</v>
      </c>
      <c r="F384">
        <f t="shared" ca="1" si="45"/>
        <v>2</v>
      </c>
      <c r="G384">
        <f t="shared" ca="1" si="46"/>
        <v>112</v>
      </c>
      <c r="H384">
        <f t="shared" ca="1" si="47"/>
        <v>110</v>
      </c>
      <c r="I384">
        <f t="shared" ca="1" si="40"/>
        <v>0</v>
      </c>
    </row>
    <row r="385" spans="1:9">
      <c r="A385">
        <f t="shared" si="41"/>
        <v>381</v>
      </c>
      <c r="B385">
        <f t="shared" ca="1" si="42"/>
        <v>2</v>
      </c>
      <c r="C385">
        <f t="shared" ca="1" si="43"/>
        <v>110</v>
      </c>
      <c r="D385">
        <f t="shared" ca="1" si="44"/>
        <v>112</v>
      </c>
      <c r="E385">
        <f ca="1">_xll.RiskBinomial($B$1,$B$2)</f>
        <v>92</v>
      </c>
      <c r="F385">
        <f t="shared" ca="1" si="45"/>
        <v>20</v>
      </c>
      <c r="G385">
        <f t="shared" ca="1" si="46"/>
        <v>94</v>
      </c>
      <c r="H385">
        <f t="shared" ca="1" si="47"/>
        <v>94</v>
      </c>
      <c r="I385">
        <f t="shared" ca="1" si="40"/>
        <v>0</v>
      </c>
    </row>
    <row r="386" spans="1:9">
      <c r="A386">
        <f t="shared" si="41"/>
        <v>382</v>
      </c>
      <c r="B386">
        <f t="shared" ca="1" si="42"/>
        <v>20</v>
      </c>
      <c r="C386">
        <f t="shared" ca="1" si="43"/>
        <v>94</v>
      </c>
      <c r="D386">
        <f t="shared" ca="1" si="44"/>
        <v>114</v>
      </c>
      <c r="E386">
        <f ca="1">_xll.RiskBinomial($B$1,$B$2)</f>
        <v>103</v>
      </c>
      <c r="F386">
        <f t="shared" ca="1" si="45"/>
        <v>11</v>
      </c>
      <c r="G386">
        <f t="shared" ca="1" si="46"/>
        <v>103</v>
      </c>
      <c r="H386">
        <f t="shared" ca="1" si="47"/>
        <v>103</v>
      </c>
      <c r="I386">
        <f t="shared" ca="1" si="40"/>
        <v>0</v>
      </c>
    </row>
    <row r="387" spans="1:9">
      <c r="A387">
        <f t="shared" si="41"/>
        <v>383</v>
      </c>
      <c r="B387">
        <f t="shared" ca="1" si="42"/>
        <v>11</v>
      </c>
      <c r="C387">
        <f t="shared" ca="1" si="43"/>
        <v>103</v>
      </c>
      <c r="D387">
        <f t="shared" ca="1" si="44"/>
        <v>114</v>
      </c>
      <c r="E387">
        <f ca="1">_xll.RiskBinomial($B$1,$B$2)</f>
        <v>115</v>
      </c>
      <c r="F387">
        <f t="shared" ca="1" si="45"/>
        <v>-1</v>
      </c>
      <c r="G387">
        <f t="shared" ca="1" si="46"/>
        <v>115</v>
      </c>
      <c r="H387">
        <f t="shared" ca="1" si="47"/>
        <v>110</v>
      </c>
      <c r="I387">
        <f t="shared" ca="1" si="40"/>
        <v>1</v>
      </c>
    </row>
    <row r="388" spans="1:9">
      <c r="A388">
        <f t="shared" si="41"/>
        <v>384</v>
      </c>
      <c r="B388">
        <f t="shared" ca="1" si="42"/>
        <v>-1</v>
      </c>
      <c r="C388">
        <f t="shared" ca="1" si="43"/>
        <v>110</v>
      </c>
      <c r="D388">
        <f t="shared" ca="1" si="44"/>
        <v>109</v>
      </c>
      <c r="E388">
        <f ca="1">_xll.RiskBinomial($B$1,$B$2)</f>
        <v>87</v>
      </c>
      <c r="F388">
        <f t="shared" ca="1" si="45"/>
        <v>22</v>
      </c>
      <c r="G388">
        <f t="shared" ca="1" si="46"/>
        <v>92</v>
      </c>
      <c r="H388">
        <f t="shared" ca="1" si="47"/>
        <v>92</v>
      </c>
      <c r="I388">
        <f t="shared" ca="1" si="40"/>
        <v>0</v>
      </c>
    </row>
    <row r="389" spans="1:9">
      <c r="A389">
        <f t="shared" si="41"/>
        <v>385</v>
      </c>
      <c r="B389">
        <f t="shared" ca="1" si="42"/>
        <v>22</v>
      </c>
      <c r="C389">
        <f t="shared" ca="1" si="43"/>
        <v>92</v>
      </c>
      <c r="D389">
        <f t="shared" ca="1" si="44"/>
        <v>114</v>
      </c>
      <c r="E389">
        <f ca="1">_xll.RiskBinomial($B$1,$B$2)</f>
        <v>94</v>
      </c>
      <c r="F389">
        <f t="shared" ca="1" si="45"/>
        <v>20</v>
      </c>
      <c r="G389">
        <f t="shared" ca="1" si="46"/>
        <v>94</v>
      </c>
      <c r="H389">
        <f t="shared" ca="1" si="47"/>
        <v>94</v>
      </c>
      <c r="I389">
        <f t="shared" ca="1" si="40"/>
        <v>0</v>
      </c>
    </row>
    <row r="390" spans="1:9">
      <c r="A390">
        <f t="shared" si="41"/>
        <v>386</v>
      </c>
      <c r="B390">
        <f t="shared" ca="1" si="42"/>
        <v>20</v>
      </c>
      <c r="C390">
        <f t="shared" ca="1" si="43"/>
        <v>94</v>
      </c>
      <c r="D390">
        <f t="shared" ca="1" si="44"/>
        <v>114</v>
      </c>
      <c r="E390">
        <f ca="1">_xll.RiskBinomial($B$1,$B$2)</f>
        <v>107</v>
      </c>
      <c r="F390">
        <f t="shared" ca="1" si="45"/>
        <v>7</v>
      </c>
      <c r="G390">
        <f t="shared" ca="1" si="46"/>
        <v>107</v>
      </c>
      <c r="H390">
        <f t="shared" ca="1" si="47"/>
        <v>107</v>
      </c>
      <c r="I390">
        <f t="shared" ref="I390:I453" ca="1" si="48">IF(F390&lt;0,1,0)</f>
        <v>0</v>
      </c>
    </row>
    <row r="391" spans="1:9">
      <c r="A391">
        <f t="shared" ref="A391:A454" si="49">A390+1</f>
        <v>387</v>
      </c>
      <c r="B391">
        <f t="shared" ref="B391:B454" ca="1" si="50">F390</f>
        <v>7</v>
      </c>
      <c r="C391">
        <f t="shared" ref="C391:C454" ca="1" si="51">H390</f>
        <v>107</v>
      </c>
      <c r="D391">
        <f t="shared" ref="D391:D454" ca="1" si="52">B391+C391</f>
        <v>114</v>
      </c>
      <c r="E391">
        <f ca="1">_xll.RiskBinomial($B$1,$B$2)</f>
        <v>94</v>
      </c>
      <c r="F391">
        <f t="shared" ref="F391:F454" ca="1" si="53">D391-E391</f>
        <v>20</v>
      </c>
      <c r="G391">
        <f t="shared" ref="G391:G454" ca="1" si="54">$H$1-F391</f>
        <v>94</v>
      </c>
      <c r="H391">
        <f t="shared" ref="H391:H454" ca="1" si="55">MIN(G391,$H$2)</f>
        <v>94</v>
      </c>
      <c r="I391">
        <f t="shared" ca="1" si="48"/>
        <v>0</v>
      </c>
    </row>
    <row r="392" spans="1:9">
      <c r="A392">
        <f t="shared" si="49"/>
        <v>388</v>
      </c>
      <c r="B392">
        <f t="shared" ca="1" si="50"/>
        <v>20</v>
      </c>
      <c r="C392">
        <f t="shared" ca="1" si="51"/>
        <v>94</v>
      </c>
      <c r="D392">
        <f t="shared" ca="1" si="52"/>
        <v>114</v>
      </c>
      <c r="E392">
        <f ca="1">_xll.RiskBinomial($B$1,$B$2)</f>
        <v>105</v>
      </c>
      <c r="F392">
        <f t="shared" ca="1" si="53"/>
        <v>9</v>
      </c>
      <c r="G392">
        <f t="shared" ca="1" si="54"/>
        <v>105</v>
      </c>
      <c r="H392">
        <f t="shared" ca="1" si="55"/>
        <v>105</v>
      </c>
      <c r="I392">
        <f t="shared" ca="1" si="48"/>
        <v>0</v>
      </c>
    </row>
    <row r="393" spans="1:9">
      <c r="A393">
        <f t="shared" si="49"/>
        <v>389</v>
      </c>
      <c r="B393">
        <f t="shared" ca="1" si="50"/>
        <v>9</v>
      </c>
      <c r="C393">
        <f t="shared" ca="1" si="51"/>
        <v>105</v>
      </c>
      <c r="D393">
        <f t="shared" ca="1" si="52"/>
        <v>114</v>
      </c>
      <c r="E393">
        <f ca="1">_xll.RiskBinomial($B$1,$B$2)</f>
        <v>96</v>
      </c>
      <c r="F393">
        <f t="shared" ca="1" si="53"/>
        <v>18</v>
      </c>
      <c r="G393">
        <f t="shared" ca="1" si="54"/>
        <v>96</v>
      </c>
      <c r="H393">
        <f t="shared" ca="1" si="55"/>
        <v>96</v>
      </c>
      <c r="I393">
        <f t="shared" ca="1" si="48"/>
        <v>0</v>
      </c>
    </row>
    <row r="394" spans="1:9">
      <c r="A394">
        <f t="shared" si="49"/>
        <v>390</v>
      </c>
      <c r="B394">
        <f t="shared" ca="1" si="50"/>
        <v>18</v>
      </c>
      <c r="C394">
        <f t="shared" ca="1" si="51"/>
        <v>96</v>
      </c>
      <c r="D394">
        <f t="shared" ca="1" si="52"/>
        <v>114</v>
      </c>
      <c r="E394">
        <f ca="1">_xll.RiskBinomial($B$1,$B$2)</f>
        <v>94</v>
      </c>
      <c r="F394">
        <f t="shared" ca="1" si="53"/>
        <v>20</v>
      </c>
      <c r="G394">
        <f t="shared" ca="1" si="54"/>
        <v>94</v>
      </c>
      <c r="H394">
        <f t="shared" ca="1" si="55"/>
        <v>94</v>
      </c>
      <c r="I394">
        <f t="shared" ca="1" si="48"/>
        <v>0</v>
      </c>
    </row>
    <row r="395" spans="1:9">
      <c r="A395">
        <f t="shared" si="49"/>
        <v>391</v>
      </c>
      <c r="B395">
        <f t="shared" ca="1" si="50"/>
        <v>20</v>
      </c>
      <c r="C395">
        <f t="shared" ca="1" si="51"/>
        <v>94</v>
      </c>
      <c r="D395">
        <f t="shared" ca="1" si="52"/>
        <v>114</v>
      </c>
      <c r="E395">
        <f ca="1">_xll.RiskBinomial($B$1,$B$2)</f>
        <v>105</v>
      </c>
      <c r="F395">
        <f t="shared" ca="1" si="53"/>
        <v>9</v>
      </c>
      <c r="G395">
        <f t="shared" ca="1" si="54"/>
        <v>105</v>
      </c>
      <c r="H395">
        <f t="shared" ca="1" si="55"/>
        <v>105</v>
      </c>
      <c r="I395">
        <f t="shared" ca="1" si="48"/>
        <v>0</v>
      </c>
    </row>
    <row r="396" spans="1:9">
      <c r="A396">
        <f t="shared" si="49"/>
        <v>392</v>
      </c>
      <c r="B396">
        <f t="shared" ca="1" si="50"/>
        <v>9</v>
      </c>
      <c r="C396">
        <f t="shared" ca="1" si="51"/>
        <v>105</v>
      </c>
      <c r="D396">
        <f t="shared" ca="1" si="52"/>
        <v>114</v>
      </c>
      <c r="E396">
        <f ca="1">_xll.RiskBinomial($B$1,$B$2)</f>
        <v>98</v>
      </c>
      <c r="F396">
        <f t="shared" ca="1" si="53"/>
        <v>16</v>
      </c>
      <c r="G396">
        <f t="shared" ca="1" si="54"/>
        <v>98</v>
      </c>
      <c r="H396">
        <f t="shared" ca="1" si="55"/>
        <v>98</v>
      </c>
      <c r="I396">
        <f t="shared" ca="1" si="48"/>
        <v>0</v>
      </c>
    </row>
    <row r="397" spans="1:9">
      <c r="A397">
        <f t="shared" si="49"/>
        <v>393</v>
      </c>
      <c r="B397">
        <f t="shared" ca="1" si="50"/>
        <v>16</v>
      </c>
      <c r="C397">
        <f t="shared" ca="1" si="51"/>
        <v>98</v>
      </c>
      <c r="D397">
        <f t="shared" ca="1" si="52"/>
        <v>114</v>
      </c>
      <c r="E397">
        <f ca="1">_xll.RiskBinomial($B$1,$B$2)</f>
        <v>110</v>
      </c>
      <c r="F397">
        <f t="shared" ca="1" si="53"/>
        <v>4</v>
      </c>
      <c r="G397">
        <f t="shared" ca="1" si="54"/>
        <v>110</v>
      </c>
      <c r="H397">
        <f t="shared" ca="1" si="55"/>
        <v>110</v>
      </c>
      <c r="I397">
        <f t="shared" ca="1" si="48"/>
        <v>0</v>
      </c>
    </row>
    <row r="398" spans="1:9">
      <c r="A398">
        <f t="shared" si="49"/>
        <v>394</v>
      </c>
      <c r="B398">
        <f t="shared" ca="1" si="50"/>
        <v>4</v>
      </c>
      <c r="C398">
        <f t="shared" ca="1" si="51"/>
        <v>110</v>
      </c>
      <c r="D398">
        <f t="shared" ca="1" si="52"/>
        <v>114</v>
      </c>
      <c r="E398">
        <f ca="1">_xll.RiskBinomial($B$1,$B$2)</f>
        <v>96</v>
      </c>
      <c r="F398">
        <f t="shared" ca="1" si="53"/>
        <v>18</v>
      </c>
      <c r="G398">
        <f t="shared" ca="1" si="54"/>
        <v>96</v>
      </c>
      <c r="H398">
        <f t="shared" ca="1" si="55"/>
        <v>96</v>
      </c>
      <c r="I398">
        <f t="shared" ca="1" si="48"/>
        <v>0</v>
      </c>
    </row>
    <row r="399" spans="1:9">
      <c r="A399">
        <f t="shared" si="49"/>
        <v>395</v>
      </c>
      <c r="B399">
        <f t="shared" ca="1" si="50"/>
        <v>18</v>
      </c>
      <c r="C399">
        <f t="shared" ca="1" si="51"/>
        <v>96</v>
      </c>
      <c r="D399">
        <f t="shared" ca="1" si="52"/>
        <v>114</v>
      </c>
      <c r="E399">
        <f ca="1">_xll.RiskBinomial($B$1,$B$2)</f>
        <v>94</v>
      </c>
      <c r="F399">
        <f t="shared" ca="1" si="53"/>
        <v>20</v>
      </c>
      <c r="G399">
        <f t="shared" ca="1" si="54"/>
        <v>94</v>
      </c>
      <c r="H399">
        <f t="shared" ca="1" si="55"/>
        <v>94</v>
      </c>
      <c r="I399">
        <f t="shared" ca="1" si="48"/>
        <v>0</v>
      </c>
    </row>
    <row r="400" spans="1:9">
      <c r="A400">
        <f t="shared" si="49"/>
        <v>396</v>
      </c>
      <c r="B400">
        <f t="shared" ca="1" si="50"/>
        <v>20</v>
      </c>
      <c r="C400">
        <f t="shared" ca="1" si="51"/>
        <v>94</v>
      </c>
      <c r="D400">
        <f t="shared" ca="1" si="52"/>
        <v>114</v>
      </c>
      <c r="E400">
        <f ca="1">_xll.RiskBinomial($B$1,$B$2)</f>
        <v>94</v>
      </c>
      <c r="F400">
        <f t="shared" ca="1" si="53"/>
        <v>20</v>
      </c>
      <c r="G400">
        <f t="shared" ca="1" si="54"/>
        <v>94</v>
      </c>
      <c r="H400">
        <f t="shared" ca="1" si="55"/>
        <v>94</v>
      </c>
      <c r="I400">
        <f t="shared" ca="1" si="48"/>
        <v>0</v>
      </c>
    </row>
    <row r="401" spans="1:9">
      <c r="A401">
        <f t="shared" si="49"/>
        <v>397</v>
      </c>
      <c r="B401">
        <f t="shared" ca="1" si="50"/>
        <v>20</v>
      </c>
      <c r="C401">
        <f t="shared" ca="1" si="51"/>
        <v>94</v>
      </c>
      <c r="D401">
        <f t="shared" ca="1" si="52"/>
        <v>114</v>
      </c>
      <c r="E401">
        <f ca="1">_xll.RiskBinomial($B$1,$B$2)</f>
        <v>113</v>
      </c>
      <c r="F401">
        <f t="shared" ca="1" si="53"/>
        <v>1</v>
      </c>
      <c r="G401">
        <f t="shared" ca="1" si="54"/>
        <v>113</v>
      </c>
      <c r="H401">
        <f t="shared" ca="1" si="55"/>
        <v>110</v>
      </c>
      <c r="I401">
        <f t="shared" ca="1" si="48"/>
        <v>0</v>
      </c>
    </row>
    <row r="402" spans="1:9">
      <c r="A402">
        <f t="shared" si="49"/>
        <v>398</v>
      </c>
      <c r="B402">
        <f t="shared" ca="1" si="50"/>
        <v>1</v>
      </c>
      <c r="C402">
        <f t="shared" ca="1" si="51"/>
        <v>110</v>
      </c>
      <c r="D402">
        <f t="shared" ca="1" si="52"/>
        <v>111</v>
      </c>
      <c r="E402">
        <f ca="1">_xll.RiskBinomial($B$1,$B$2)</f>
        <v>102</v>
      </c>
      <c r="F402">
        <f t="shared" ca="1" si="53"/>
        <v>9</v>
      </c>
      <c r="G402">
        <f t="shared" ca="1" si="54"/>
        <v>105</v>
      </c>
      <c r="H402">
        <f t="shared" ca="1" si="55"/>
        <v>105</v>
      </c>
      <c r="I402">
        <f t="shared" ca="1" si="48"/>
        <v>0</v>
      </c>
    </row>
    <row r="403" spans="1:9">
      <c r="A403">
        <f t="shared" si="49"/>
        <v>399</v>
      </c>
      <c r="B403">
        <f t="shared" ca="1" si="50"/>
        <v>9</v>
      </c>
      <c r="C403">
        <f t="shared" ca="1" si="51"/>
        <v>105</v>
      </c>
      <c r="D403">
        <f t="shared" ca="1" si="52"/>
        <v>114</v>
      </c>
      <c r="E403">
        <f ca="1">_xll.RiskBinomial($B$1,$B$2)</f>
        <v>100</v>
      </c>
      <c r="F403">
        <f t="shared" ca="1" si="53"/>
        <v>14</v>
      </c>
      <c r="G403">
        <f t="shared" ca="1" si="54"/>
        <v>100</v>
      </c>
      <c r="H403">
        <f t="shared" ca="1" si="55"/>
        <v>100</v>
      </c>
      <c r="I403">
        <f t="shared" ca="1" si="48"/>
        <v>0</v>
      </c>
    </row>
    <row r="404" spans="1:9">
      <c r="A404">
        <f t="shared" si="49"/>
        <v>400</v>
      </c>
      <c r="B404">
        <f t="shared" ca="1" si="50"/>
        <v>14</v>
      </c>
      <c r="C404">
        <f t="shared" ca="1" si="51"/>
        <v>100</v>
      </c>
      <c r="D404">
        <f t="shared" ca="1" si="52"/>
        <v>114</v>
      </c>
      <c r="E404">
        <f ca="1">_xll.RiskBinomial($B$1,$B$2)</f>
        <v>110</v>
      </c>
      <c r="F404">
        <f t="shared" ca="1" si="53"/>
        <v>4</v>
      </c>
      <c r="G404">
        <f t="shared" ca="1" si="54"/>
        <v>110</v>
      </c>
      <c r="H404">
        <f t="shared" ca="1" si="55"/>
        <v>110</v>
      </c>
      <c r="I404">
        <f t="shared" ca="1" si="48"/>
        <v>0</v>
      </c>
    </row>
    <row r="405" spans="1:9">
      <c r="A405">
        <f t="shared" si="49"/>
        <v>401</v>
      </c>
      <c r="B405">
        <f t="shared" ca="1" si="50"/>
        <v>4</v>
      </c>
      <c r="C405">
        <f t="shared" ca="1" si="51"/>
        <v>110</v>
      </c>
      <c r="D405">
        <f t="shared" ca="1" si="52"/>
        <v>114</v>
      </c>
      <c r="E405">
        <f ca="1">_xll.RiskBinomial($B$1,$B$2)</f>
        <v>89</v>
      </c>
      <c r="F405">
        <f t="shared" ca="1" si="53"/>
        <v>25</v>
      </c>
      <c r="G405">
        <f t="shared" ca="1" si="54"/>
        <v>89</v>
      </c>
      <c r="H405">
        <f t="shared" ca="1" si="55"/>
        <v>89</v>
      </c>
      <c r="I405">
        <f t="shared" ca="1" si="48"/>
        <v>0</v>
      </c>
    </row>
    <row r="406" spans="1:9">
      <c r="A406">
        <f t="shared" si="49"/>
        <v>402</v>
      </c>
      <c r="B406">
        <f t="shared" ca="1" si="50"/>
        <v>25</v>
      </c>
      <c r="C406">
        <f t="shared" ca="1" si="51"/>
        <v>89</v>
      </c>
      <c r="D406">
        <f t="shared" ca="1" si="52"/>
        <v>114</v>
      </c>
      <c r="E406">
        <f ca="1">_xll.RiskBinomial($B$1,$B$2)</f>
        <v>108</v>
      </c>
      <c r="F406">
        <f t="shared" ca="1" si="53"/>
        <v>6</v>
      </c>
      <c r="G406">
        <f t="shared" ca="1" si="54"/>
        <v>108</v>
      </c>
      <c r="H406">
        <f t="shared" ca="1" si="55"/>
        <v>108</v>
      </c>
      <c r="I406">
        <f t="shared" ca="1" si="48"/>
        <v>0</v>
      </c>
    </row>
    <row r="407" spans="1:9">
      <c r="A407">
        <f t="shared" si="49"/>
        <v>403</v>
      </c>
      <c r="B407">
        <f t="shared" ca="1" si="50"/>
        <v>6</v>
      </c>
      <c r="C407">
        <f t="shared" ca="1" si="51"/>
        <v>108</v>
      </c>
      <c r="D407">
        <f t="shared" ca="1" si="52"/>
        <v>114</v>
      </c>
      <c r="E407">
        <f ca="1">_xll.RiskBinomial($B$1,$B$2)</f>
        <v>101</v>
      </c>
      <c r="F407">
        <f t="shared" ca="1" si="53"/>
        <v>13</v>
      </c>
      <c r="G407">
        <f t="shared" ca="1" si="54"/>
        <v>101</v>
      </c>
      <c r="H407">
        <f t="shared" ca="1" si="55"/>
        <v>101</v>
      </c>
      <c r="I407">
        <f t="shared" ca="1" si="48"/>
        <v>0</v>
      </c>
    </row>
    <row r="408" spans="1:9">
      <c r="A408">
        <f t="shared" si="49"/>
        <v>404</v>
      </c>
      <c r="B408">
        <f t="shared" ca="1" si="50"/>
        <v>13</v>
      </c>
      <c r="C408">
        <f t="shared" ca="1" si="51"/>
        <v>101</v>
      </c>
      <c r="D408">
        <f t="shared" ca="1" si="52"/>
        <v>114</v>
      </c>
      <c r="E408">
        <f ca="1">_xll.RiskBinomial($B$1,$B$2)</f>
        <v>113</v>
      </c>
      <c r="F408">
        <f t="shared" ca="1" si="53"/>
        <v>1</v>
      </c>
      <c r="G408">
        <f t="shared" ca="1" si="54"/>
        <v>113</v>
      </c>
      <c r="H408">
        <f t="shared" ca="1" si="55"/>
        <v>110</v>
      </c>
      <c r="I408">
        <f t="shared" ca="1" si="48"/>
        <v>0</v>
      </c>
    </row>
    <row r="409" spans="1:9">
      <c r="A409">
        <f t="shared" si="49"/>
        <v>405</v>
      </c>
      <c r="B409">
        <f t="shared" ca="1" si="50"/>
        <v>1</v>
      </c>
      <c r="C409">
        <f t="shared" ca="1" si="51"/>
        <v>110</v>
      </c>
      <c r="D409">
        <f t="shared" ca="1" si="52"/>
        <v>111</v>
      </c>
      <c r="E409">
        <f ca="1">_xll.RiskBinomial($B$1,$B$2)</f>
        <v>113</v>
      </c>
      <c r="F409">
        <f t="shared" ca="1" si="53"/>
        <v>-2</v>
      </c>
      <c r="G409">
        <f t="shared" ca="1" si="54"/>
        <v>116</v>
      </c>
      <c r="H409">
        <f t="shared" ca="1" si="55"/>
        <v>110</v>
      </c>
      <c r="I409">
        <f t="shared" ca="1" si="48"/>
        <v>1</v>
      </c>
    </row>
    <row r="410" spans="1:9">
      <c r="A410">
        <f t="shared" si="49"/>
        <v>406</v>
      </c>
      <c r="B410">
        <f t="shared" ca="1" si="50"/>
        <v>-2</v>
      </c>
      <c r="C410">
        <f t="shared" ca="1" si="51"/>
        <v>110</v>
      </c>
      <c r="D410">
        <f t="shared" ca="1" si="52"/>
        <v>108</v>
      </c>
      <c r="E410">
        <f ca="1">_xll.RiskBinomial($B$1,$B$2)</f>
        <v>102</v>
      </c>
      <c r="F410">
        <f t="shared" ca="1" si="53"/>
        <v>6</v>
      </c>
      <c r="G410">
        <f t="shared" ca="1" si="54"/>
        <v>108</v>
      </c>
      <c r="H410">
        <f t="shared" ca="1" si="55"/>
        <v>108</v>
      </c>
      <c r="I410">
        <f t="shared" ca="1" si="48"/>
        <v>0</v>
      </c>
    </row>
    <row r="411" spans="1:9">
      <c r="A411">
        <f t="shared" si="49"/>
        <v>407</v>
      </c>
      <c r="B411">
        <f t="shared" ca="1" si="50"/>
        <v>6</v>
      </c>
      <c r="C411">
        <f t="shared" ca="1" si="51"/>
        <v>108</v>
      </c>
      <c r="D411">
        <f t="shared" ca="1" si="52"/>
        <v>114</v>
      </c>
      <c r="E411">
        <f ca="1">_xll.RiskBinomial($B$1,$B$2)</f>
        <v>86</v>
      </c>
      <c r="F411">
        <f t="shared" ca="1" si="53"/>
        <v>28</v>
      </c>
      <c r="G411">
        <f t="shared" ca="1" si="54"/>
        <v>86</v>
      </c>
      <c r="H411">
        <f t="shared" ca="1" si="55"/>
        <v>86</v>
      </c>
      <c r="I411">
        <f t="shared" ca="1" si="48"/>
        <v>0</v>
      </c>
    </row>
    <row r="412" spans="1:9">
      <c r="A412">
        <f t="shared" si="49"/>
        <v>408</v>
      </c>
      <c r="B412">
        <f t="shared" ca="1" si="50"/>
        <v>28</v>
      </c>
      <c r="C412">
        <f t="shared" ca="1" si="51"/>
        <v>86</v>
      </c>
      <c r="D412">
        <f t="shared" ca="1" si="52"/>
        <v>114</v>
      </c>
      <c r="E412">
        <f ca="1">_xll.RiskBinomial($B$1,$B$2)</f>
        <v>115</v>
      </c>
      <c r="F412">
        <f t="shared" ca="1" si="53"/>
        <v>-1</v>
      </c>
      <c r="G412">
        <f t="shared" ca="1" si="54"/>
        <v>115</v>
      </c>
      <c r="H412">
        <f t="shared" ca="1" si="55"/>
        <v>110</v>
      </c>
      <c r="I412">
        <f t="shared" ca="1" si="48"/>
        <v>1</v>
      </c>
    </row>
    <row r="413" spans="1:9">
      <c r="A413">
        <f t="shared" si="49"/>
        <v>409</v>
      </c>
      <c r="B413">
        <f t="shared" ca="1" si="50"/>
        <v>-1</v>
      </c>
      <c r="C413">
        <f t="shared" ca="1" si="51"/>
        <v>110</v>
      </c>
      <c r="D413">
        <f t="shared" ca="1" si="52"/>
        <v>109</v>
      </c>
      <c r="E413">
        <f ca="1">_xll.RiskBinomial($B$1,$B$2)</f>
        <v>87</v>
      </c>
      <c r="F413">
        <f t="shared" ca="1" si="53"/>
        <v>22</v>
      </c>
      <c r="G413">
        <f t="shared" ca="1" si="54"/>
        <v>92</v>
      </c>
      <c r="H413">
        <f t="shared" ca="1" si="55"/>
        <v>92</v>
      </c>
      <c r="I413">
        <f t="shared" ca="1" si="48"/>
        <v>0</v>
      </c>
    </row>
    <row r="414" spans="1:9">
      <c r="A414">
        <f t="shared" si="49"/>
        <v>410</v>
      </c>
      <c r="B414">
        <f t="shared" ca="1" si="50"/>
        <v>22</v>
      </c>
      <c r="C414">
        <f t="shared" ca="1" si="51"/>
        <v>92</v>
      </c>
      <c r="D414">
        <f t="shared" ca="1" si="52"/>
        <v>114</v>
      </c>
      <c r="E414">
        <f ca="1">_xll.RiskBinomial($B$1,$B$2)</f>
        <v>102</v>
      </c>
      <c r="F414">
        <f t="shared" ca="1" si="53"/>
        <v>12</v>
      </c>
      <c r="G414">
        <f t="shared" ca="1" si="54"/>
        <v>102</v>
      </c>
      <c r="H414">
        <f t="shared" ca="1" si="55"/>
        <v>102</v>
      </c>
      <c r="I414">
        <f t="shared" ca="1" si="48"/>
        <v>0</v>
      </c>
    </row>
    <row r="415" spans="1:9">
      <c r="A415">
        <f t="shared" si="49"/>
        <v>411</v>
      </c>
      <c r="B415">
        <f t="shared" ca="1" si="50"/>
        <v>12</v>
      </c>
      <c r="C415">
        <f t="shared" ca="1" si="51"/>
        <v>102</v>
      </c>
      <c r="D415">
        <f t="shared" ca="1" si="52"/>
        <v>114</v>
      </c>
      <c r="E415">
        <f ca="1">_xll.RiskBinomial($B$1,$B$2)</f>
        <v>105</v>
      </c>
      <c r="F415">
        <f t="shared" ca="1" si="53"/>
        <v>9</v>
      </c>
      <c r="G415">
        <f t="shared" ca="1" si="54"/>
        <v>105</v>
      </c>
      <c r="H415">
        <f t="shared" ca="1" si="55"/>
        <v>105</v>
      </c>
      <c r="I415">
        <f t="shared" ca="1" si="48"/>
        <v>0</v>
      </c>
    </row>
    <row r="416" spans="1:9">
      <c r="A416">
        <f t="shared" si="49"/>
        <v>412</v>
      </c>
      <c r="B416">
        <f t="shared" ca="1" si="50"/>
        <v>9</v>
      </c>
      <c r="C416">
        <f t="shared" ca="1" si="51"/>
        <v>105</v>
      </c>
      <c r="D416">
        <f t="shared" ca="1" si="52"/>
        <v>114</v>
      </c>
      <c r="E416">
        <f ca="1">_xll.RiskBinomial($B$1,$B$2)</f>
        <v>99</v>
      </c>
      <c r="F416">
        <f t="shared" ca="1" si="53"/>
        <v>15</v>
      </c>
      <c r="G416">
        <f t="shared" ca="1" si="54"/>
        <v>99</v>
      </c>
      <c r="H416">
        <f t="shared" ca="1" si="55"/>
        <v>99</v>
      </c>
      <c r="I416">
        <f t="shared" ca="1" si="48"/>
        <v>0</v>
      </c>
    </row>
    <row r="417" spans="1:9">
      <c r="A417">
        <f t="shared" si="49"/>
        <v>413</v>
      </c>
      <c r="B417">
        <f t="shared" ca="1" si="50"/>
        <v>15</v>
      </c>
      <c r="C417">
        <f t="shared" ca="1" si="51"/>
        <v>99</v>
      </c>
      <c r="D417">
        <f t="shared" ca="1" si="52"/>
        <v>114</v>
      </c>
      <c r="E417">
        <f ca="1">_xll.RiskBinomial($B$1,$B$2)</f>
        <v>105</v>
      </c>
      <c r="F417">
        <f t="shared" ca="1" si="53"/>
        <v>9</v>
      </c>
      <c r="G417">
        <f t="shared" ca="1" si="54"/>
        <v>105</v>
      </c>
      <c r="H417">
        <f t="shared" ca="1" si="55"/>
        <v>105</v>
      </c>
      <c r="I417">
        <f t="shared" ca="1" si="48"/>
        <v>0</v>
      </c>
    </row>
    <row r="418" spans="1:9">
      <c r="A418">
        <f t="shared" si="49"/>
        <v>414</v>
      </c>
      <c r="B418">
        <f t="shared" ca="1" si="50"/>
        <v>9</v>
      </c>
      <c r="C418">
        <f t="shared" ca="1" si="51"/>
        <v>105</v>
      </c>
      <c r="D418">
        <f t="shared" ca="1" si="52"/>
        <v>114</v>
      </c>
      <c r="E418">
        <f ca="1">_xll.RiskBinomial($B$1,$B$2)</f>
        <v>93</v>
      </c>
      <c r="F418">
        <f t="shared" ca="1" si="53"/>
        <v>21</v>
      </c>
      <c r="G418">
        <f t="shared" ca="1" si="54"/>
        <v>93</v>
      </c>
      <c r="H418">
        <f t="shared" ca="1" si="55"/>
        <v>93</v>
      </c>
      <c r="I418">
        <f t="shared" ca="1" si="48"/>
        <v>0</v>
      </c>
    </row>
    <row r="419" spans="1:9">
      <c r="A419">
        <f t="shared" si="49"/>
        <v>415</v>
      </c>
      <c r="B419">
        <f t="shared" ca="1" si="50"/>
        <v>21</v>
      </c>
      <c r="C419">
        <f t="shared" ca="1" si="51"/>
        <v>93</v>
      </c>
      <c r="D419">
        <f t="shared" ca="1" si="52"/>
        <v>114</v>
      </c>
      <c r="E419">
        <f ca="1">_xll.RiskBinomial($B$1,$B$2)</f>
        <v>97</v>
      </c>
      <c r="F419">
        <f t="shared" ca="1" si="53"/>
        <v>17</v>
      </c>
      <c r="G419">
        <f t="shared" ca="1" si="54"/>
        <v>97</v>
      </c>
      <c r="H419">
        <f t="shared" ca="1" si="55"/>
        <v>97</v>
      </c>
      <c r="I419">
        <f t="shared" ca="1" si="48"/>
        <v>0</v>
      </c>
    </row>
    <row r="420" spans="1:9">
      <c r="A420">
        <f t="shared" si="49"/>
        <v>416</v>
      </c>
      <c r="B420">
        <f t="shared" ca="1" si="50"/>
        <v>17</v>
      </c>
      <c r="C420">
        <f t="shared" ca="1" si="51"/>
        <v>97</v>
      </c>
      <c r="D420">
        <f t="shared" ca="1" si="52"/>
        <v>114</v>
      </c>
      <c r="E420">
        <f ca="1">_xll.RiskBinomial($B$1,$B$2)</f>
        <v>116</v>
      </c>
      <c r="F420">
        <f t="shared" ca="1" si="53"/>
        <v>-2</v>
      </c>
      <c r="G420">
        <f t="shared" ca="1" si="54"/>
        <v>116</v>
      </c>
      <c r="H420">
        <f t="shared" ca="1" si="55"/>
        <v>110</v>
      </c>
      <c r="I420">
        <f t="shared" ca="1" si="48"/>
        <v>1</v>
      </c>
    </row>
    <row r="421" spans="1:9">
      <c r="A421">
        <f t="shared" si="49"/>
        <v>417</v>
      </c>
      <c r="B421">
        <f t="shared" ca="1" si="50"/>
        <v>-2</v>
      </c>
      <c r="C421">
        <f t="shared" ca="1" si="51"/>
        <v>110</v>
      </c>
      <c r="D421">
        <f t="shared" ca="1" si="52"/>
        <v>108</v>
      </c>
      <c r="E421">
        <f ca="1">_xll.RiskBinomial($B$1,$B$2)</f>
        <v>86</v>
      </c>
      <c r="F421">
        <f t="shared" ca="1" si="53"/>
        <v>22</v>
      </c>
      <c r="G421">
        <f t="shared" ca="1" si="54"/>
        <v>92</v>
      </c>
      <c r="H421">
        <f t="shared" ca="1" si="55"/>
        <v>92</v>
      </c>
      <c r="I421">
        <f t="shared" ca="1" si="48"/>
        <v>0</v>
      </c>
    </row>
    <row r="422" spans="1:9">
      <c r="A422">
        <f t="shared" si="49"/>
        <v>418</v>
      </c>
      <c r="B422">
        <f t="shared" ca="1" si="50"/>
        <v>22</v>
      </c>
      <c r="C422">
        <f t="shared" ca="1" si="51"/>
        <v>92</v>
      </c>
      <c r="D422">
        <f t="shared" ca="1" si="52"/>
        <v>114</v>
      </c>
      <c r="E422">
        <f ca="1">_xll.RiskBinomial($B$1,$B$2)</f>
        <v>97</v>
      </c>
      <c r="F422">
        <f t="shared" ca="1" si="53"/>
        <v>17</v>
      </c>
      <c r="G422">
        <f t="shared" ca="1" si="54"/>
        <v>97</v>
      </c>
      <c r="H422">
        <f t="shared" ca="1" si="55"/>
        <v>97</v>
      </c>
      <c r="I422">
        <f t="shared" ca="1" si="48"/>
        <v>0</v>
      </c>
    </row>
    <row r="423" spans="1:9">
      <c r="A423">
        <f t="shared" si="49"/>
        <v>419</v>
      </c>
      <c r="B423">
        <f t="shared" ca="1" si="50"/>
        <v>17</v>
      </c>
      <c r="C423">
        <f t="shared" ca="1" si="51"/>
        <v>97</v>
      </c>
      <c r="D423">
        <f t="shared" ca="1" si="52"/>
        <v>114</v>
      </c>
      <c r="E423">
        <f ca="1">_xll.RiskBinomial($B$1,$B$2)</f>
        <v>92</v>
      </c>
      <c r="F423">
        <f t="shared" ca="1" si="53"/>
        <v>22</v>
      </c>
      <c r="G423">
        <f t="shared" ca="1" si="54"/>
        <v>92</v>
      </c>
      <c r="H423">
        <f t="shared" ca="1" si="55"/>
        <v>92</v>
      </c>
      <c r="I423">
        <f t="shared" ca="1" si="48"/>
        <v>0</v>
      </c>
    </row>
    <row r="424" spans="1:9">
      <c r="A424">
        <f t="shared" si="49"/>
        <v>420</v>
      </c>
      <c r="B424">
        <f t="shared" ca="1" si="50"/>
        <v>22</v>
      </c>
      <c r="C424">
        <f t="shared" ca="1" si="51"/>
        <v>92</v>
      </c>
      <c r="D424">
        <f t="shared" ca="1" si="52"/>
        <v>114</v>
      </c>
      <c r="E424">
        <f ca="1">_xll.RiskBinomial($B$1,$B$2)</f>
        <v>124</v>
      </c>
      <c r="F424">
        <f t="shared" ca="1" si="53"/>
        <v>-10</v>
      </c>
      <c r="G424">
        <f t="shared" ca="1" si="54"/>
        <v>124</v>
      </c>
      <c r="H424">
        <f t="shared" ca="1" si="55"/>
        <v>110</v>
      </c>
      <c r="I424">
        <f t="shared" ca="1" si="48"/>
        <v>1</v>
      </c>
    </row>
    <row r="425" spans="1:9">
      <c r="A425">
        <f t="shared" si="49"/>
        <v>421</v>
      </c>
      <c r="B425">
        <f t="shared" ca="1" si="50"/>
        <v>-10</v>
      </c>
      <c r="C425">
        <f t="shared" ca="1" si="51"/>
        <v>110</v>
      </c>
      <c r="D425">
        <f t="shared" ca="1" si="52"/>
        <v>100</v>
      </c>
      <c r="E425">
        <f ca="1">_xll.RiskBinomial($B$1,$B$2)</f>
        <v>116</v>
      </c>
      <c r="F425">
        <f t="shared" ca="1" si="53"/>
        <v>-16</v>
      </c>
      <c r="G425">
        <f t="shared" ca="1" si="54"/>
        <v>130</v>
      </c>
      <c r="H425">
        <f t="shared" ca="1" si="55"/>
        <v>110</v>
      </c>
      <c r="I425">
        <f t="shared" ca="1" si="48"/>
        <v>1</v>
      </c>
    </row>
    <row r="426" spans="1:9">
      <c r="A426">
        <f t="shared" si="49"/>
        <v>422</v>
      </c>
      <c r="B426">
        <f t="shared" ca="1" si="50"/>
        <v>-16</v>
      </c>
      <c r="C426">
        <f t="shared" ca="1" si="51"/>
        <v>110</v>
      </c>
      <c r="D426">
        <f t="shared" ca="1" si="52"/>
        <v>94</v>
      </c>
      <c r="E426">
        <f ca="1">_xll.RiskBinomial($B$1,$B$2)</f>
        <v>100</v>
      </c>
      <c r="F426">
        <f t="shared" ca="1" si="53"/>
        <v>-6</v>
      </c>
      <c r="G426">
        <f t="shared" ca="1" si="54"/>
        <v>120</v>
      </c>
      <c r="H426">
        <f t="shared" ca="1" si="55"/>
        <v>110</v>
      </c>
      <c r="I426">
        <f t="shared" ca="1" si="48"/>
        <v>1</v>
      </c>
    </row>
    <row r="427" spans="1:9">
      <c r="A427">
        <f t="shared" si="49"/>
        <v>423</v>
      </c>
      <c r="B427">
        <f t="shared" ca="1" si="50"/>
        <v>-6</v>
      </c>
      <c r="C427">
        <f t="shared" ca="1" si="51"/>
        <v>110</v>
      </c>
      <c r="D427">
        <f t="shared" ca="1" si="52"/>
        <v>104</v>
      </c>
      <c r="E427">
        <f ca="1">_xll.RiskBinomial($B$1,$B$2)</f>
        <v>103</v>
      </c>
      <c r="F427">
        <f t="shared" ca="1" si="53"/>
        <v>1</v>
      </c>
      <c r="G427">
        <f t="shared" ca="1" si="54"/>
        <v>113</v>
      </c>
      <c r="H427">
        <f t="shared" ca="1" si="55"/>
        <v>110</v>
      </c>
      <c r="I427">
        <f t="shared" ca="1" si="48"/>
        <v>0</v>
      </c>
    </row>
    <row r="428" spans="1:9">
      <c r="A428">
        <f t="shared" si="49"/>
        <v>424</v>
      </c>
      <c r="B428">
        <f t="shared" ca="1" si="50"/>
        <v>1</v>
      </c>
      <c r="C428">
        <f t="shared" ca="1" si="51"/>
        <v>110</v>
      </c>
      <c r="D428">
        <f t="shared" ca="1" si="52"/>
        <v>111</v>
      </c>
      <c r="E428">
        <f ca="1">_xll.RiskBinomial($B$1,$B$2)</f>
        <v>98</v>
      </c>
      <c r="F428">
        <f t="shared" ca="1" si="53"/>
        <v>13</v>
      </c>
      <c r="G428">
        <f t="shared" ca="1" si="54"/>
        <v>101</v>
      </c>
      <c r="H428">
        <f t="shared" ca="1" si="55"/>
        <v>101</v>
      </c>
      <c r="I428">
        <f t="shared" ca="1" si="48"/>
        <v>0</v>
      </c>
    </row>
    <row r="429" spans="1:9">
      <c r="A429">
        <f t="shared" si="49"/>
        <v>425</v>
      </c>
      <c r="B429">
        <f t="shared" ca="1" si="50"/>
        <v>13</v>
      </c>
      <c r="C429">
        <f t="shared" ca="1" si="51"/>
        <v>101</v>
      </c>
      <c r="D429">
        <f t="shared" ca="1" si="52"/>
        <v>114</v>
      </c>
      <c r="E429">
        <f ca="1">_xll.RiskBinomial($B$1,$B$2)</f>
        <v>111</v>
      </c>
      <c r="F429">
        <f t="shared" ca="1" si="53"/>
        <v>3</v>
      </c>
      <c r="G429">
        <f t="shared" ca="1" si="54"/>
        <v>111</v>
      </c>
      <c r="H429">
        <f t="shared" ca="1" si="55"/>
        <v>110</v>
      </c>
      <c r="I429">
        <f t="shared" ca="1" si="48"/>
        <v>0</v>
      </c>
    </row>
    <row r="430" spans="1:9">
      <c r="A430">
        <f t="shared" si="49"/>
        <v>426</v>
      </c>
      <c r="B430">
        <f t="shared" ca="1" si="50"/>
        <v>3</v>
      </c>
      <c r="C430">
        <f t="shared" ca="1" si="51"/>
        <v>110</v>
      </c>
      <c r="D430">
        <f t="shared" ca="1" si="52"/>
        <v>113</v>
      </c>
      <c r="E430">
        <f ca="1">_xll.RiskBinomial($B$1,$B$2)</f>
        <v>91</v>
      </c>
      <c r="F430">
        <f t="shared" ca="1" si="53"/>
        <v>22</v>
      </c>
      <c r="G430">
        <f t="shared" ca="1" si="54"/>
        <v>92</v>
      </c>
      <c r="H430">
        <f t="shared" ca="1" si="55"/>
        <v>92</v>
      </c>
      <c r="I430">
        <f t="shared" ca="1" si="48"/>
        <v>0</v>
      </c>
    </row>
    <row r="431" spans="1:9">
      <c r="A431">
        <f t="shared" si="49"/>
        <v>427</v>
      </c>
      <c r="B431">
        <f t="shared" ca="1" si="50"/>
        <v>22</v>
      </c>
      <c r="C431">
        <f t="shared" ca="1" si="51"/>
        <v>92</v>
      </c>
      <c r="D431">
        <f t="shared" ca="1" si="52"/>
        <v>114</v>
      </c>
      <c r="E431">
        <f ca="1">_xll.RiskBinomial($B$1,$B$2)</f>
        <v>82</v>
      </c>
      <c r="F431">
        <f t="shared" ca="1" si="53"/>
        <v>32</v>
      </c>
      <c r="G431">
        <f t="shared" ca="1" si="54"/>
        <v>82</v>
      </c>
      <c r="H431">
        <f t="shared" ca="1" si="55"/>
        <v>82</v>
      </c>
      <c r="I431">
        <f t="shared" ca="1" si="48"/>
        <v>0</v>
      </c>
    </row>
    <row r="432" spans="1:9">
      <c r="A432">
        <f t="shared" si="49"/>
        <v>428</v>
      </c>
      <c r="B432">
        <f t="shared" ca="1" si="50"/>
        <v>32</v>
      </c>
      <c r="C432">
        <f t="shared" ca="1" si="51"/>
        <v>82</v>
      </c>
      <c r="D432">
        <f t="shared" ca="1" si="52"/>
        <v>114</v>
      </c>
      <c r="E432">
        <f ca="1">_xll.RiskBinomial($B$1,$B$2)</f>
        <v>105</v>
      </c>
      <c r="F432">
        <f t="shared" ca="1" si="53"/>
        <v>9</v>
      </c>
      <c r="G432">
        <f t="shared" ca="1" si="54"/>
        <v>105</v>
      </c>
      <c r="H432">
        <f t="shared" ca="1" si="55"/>
        <v>105</v>
      </c>
      <c r="I432">
        <f t="shared" ca="1" si="48"/>
        <v>0</v>
      </c>
    </row>
    <row r="433" spans="1:9">
      <c r="A433">
        <f t="shared" si="49"/>
        <v>429</v>
      </c>
      <c r="B433">
        <f t="shared" ca="1" si="50"/>
        <v>9</v>
      </c>
      <c r="C433">
        <f t="shared" ca="1" si="51"/>
        <v>105</v>
      </c>
      <c r="D433">
        <f t="shared" ca="1" si="52"/>
        <v>114</v>
      </c>
      <c r="E433">
        <f ca="1">_xll.RiskBinomial($B$1,$B$2)</f>
        <v>107</v>
      </c>
      <c r="F433">
        <f t="shared" ca="1" si="53"/>
        <v>7</v>
      </c>
      <c r="G433">
        <f t="shared" ca="1" si="54"/>
        <v>107</v>
      </c>
      <c r="H433">
        <f t="shared" ca="1" si="55"/>
        <v>107</v>
      </c>
      <c r="I433">
        <f t="shared" ca="1" si="48"/>
        <v>0</v>
      </c>
    </row>
    <row r="434" spans="1:9">
      <c r="A434">
        <f t="shared" si="49"/>
        <v>430</v>
      </c>
      <c r="B434">
        <f t="shared" ca="1" si="50"/>
        <v>7</v>
      </c>
      <c r="C434">
        <f t="shared" ca="1" si="51"/>
        <v>107</v>
      </c>
      <c r="D434">
        <f t="shared" ca="1" si="52"/>
        <v>114</v>
      </c>
      <c r="E434">
        <f ca="1">_xll.RiskBinomial($B$1,$B$2)</f>
        <v>97</v>
      </c>
      <c r="F434">
        <f t="shared" ca="1" si="53"/>
        <v>17</v>
      </c>
      <c r="G434">
        <f t="shared" ca="1" si="54"/>
        <v>97</v>
      </c>
      <c r="H434">
        <f t="shared" ca="1" si="55"/>
        <v>97</v>
      </c>
      <c r="I434">
        <f t="shared" ca="1" si="48"/>
        <v>0</v>
      </c>
    </row>
    <row r="435" spans="1:9">
      <c r="A435">
        <f t="shared" si="49"/>
        <v>431</v>
      </c>
      <c r="B435">
        <f t="shared" ca="1" si="50"/>
        <v>17</v>
      </c>
      <c r="C435">
        <f t="shared" ca="1" si="51"/>
        <v>97</v>
      </c>
      <c r="D435">
        <f t="shared" ca="1" si="52"/>
        <v>114</v>
      </c>
      <c r="E435">
        <f ca="1">_xll.RiskBinomial($B$1,$B$2)</f>
        <v>99</v>
      </c>
      <c r="F435">
        <f t="shared" ca="1" si="53"/>
        <v>15</v>
      </c>
      <c r="G435">
        <f t="shared" ca="1" si="54"/>
        <v>99</v>
      </c>
      <c r="H435">
        <f t="shared" ca="1" si="55"/>
        <v>99</v>
      </c>
      <c r="I435">
        <f t="shared" ca="1" si="48"/>
        <v>0</v>
      </c>
    </row>
    <row r="436" spans="1:9">
      <c r="A436">
        <f t="shared" si="49"/>
        <v>432</v>
      </c>
      <c r="B436">
        <f t="shared" ca="1" si="50"/>
        <v>15</v>
      </c>
      <c r="C436">
        <f t="shared" ca="1" si="51"/>
        <v>99</v>
      </c>
      <c r="D436">
        <f t="shared" ca="1" si="52"/>
        <v>114</v>
      </c>
      <c r="E436">
        <f ca="1">_xll.RiskBinomial($B$1,$B$2)</f>
        <v>92</v>
      </c>
      <c r="F436">
        <f t="shared" ca="1" si="53"/>
        <v>22</v>
      </c>
      <c r="G436">
        <f t="shared" ca="1" si="54"/>
        <v>92</v>
      </c>
      <c r="H436">
        <f t="shared" ca="1" si="55"/>
        <v>92</v>
      </c>
      <c r="I436">
        <f t="shared" ca="1" si="48"/>
        <v>0</v>
      </c>
    </row>
    <row r="437" spans="1:9">
      <c r="A437">
        <f t="shared" si="49"/>
        <v>433</v>
      </c>
      <c r="B437">
        <f t="shared" ca="1" si="50"/>
        <v>22</v>
      </c>
      <c r="C437">
        <f t="shared" ca="1" si="51"/>
        <v>92</v>
      </c>
      <c r="D437">
        <f t="shared" ca="1" si="52"/>
        <v>114</v>
      </c>
      <c r="E437">
        <f ca="1">_xll.RiskBinomial($B$1,$B$2)</f>
        <v>108</v>
      </c>
      <c r="F437">
        <f t="shared" ca="1" si="53"/>
        <v>6</v>
      </c>
      <c r="G437">
        <f t="shared" ca="1" si="54"/>
        <v>108</v>
      </c>
      <c r="H437">
        <f t="shared" ca="1" si="55"/>
        <v>108</v>
      </c>
      <c r="I437">
        <f t="shared" ca="1" si="48"/>
        <v>0</v>
      </c>
    </row>
    <row r="438" spans="1:9">
      <c r="A438">
        <f t="shared" si="49"/>
        <v>434</v>
      </c>
      <c r="B438">
        <f t="shared" ca="1" si="50"/>
        <v>6</v>
      </c>
      <c r="C438">
        <f t="shared" ca="1" si="51"/>
        <v>108</v>
      </c>
      <c r="D438">
        <f t="shared" ca="1" si="52"/>
        <v>114</v>
      </c>
      <c r="E438">
        <f ca="1">_xll.RiskBinomial($B$1,$B$2)</f>
        <v>95</v>
      </c>
      <c r="F438">
        <f t="shared" ca="1" si="53"/>
        <v>19</v>
      </c>
      <c r="G438">
        <f t="shared" ca="1" si="54"/>
        <v>95</v>
      </c>
      <c r="H438">
        <f t="shared" ca="1" si="55"/>
        <v>95</v>
      </c>
      <c r="I438">
        <f t="shared" ca="1" si="48"/>
        <v>0</v>
      </c>
    </row>
    <row r="439" spans="1:9">
      <c r="A439">
        <f t="shared" si="49"/>
        <v>435</v>
      </c>
      <c r="B439">
        <f t="shared" ca="1" si="50"/>
        <v>19</v>
      </c>
      <c r="C439">
        <f t="shared" ca="1" si="51"/>
        <v>95</v>
      </c>
      <c r="D439">
        <f t="shared" ca="1" si="52"/>
        <v>114</v>
      </c>
      <c r="E439">
        <f ca="1">_xll.RiskBinomial($B$1,$B$2)</f>
        <v>83</v>
      </c>
      <c r="F439">
        <f t="shared" ca="1" si="53"/>
        <v>31</v>
      </c>
      <c r="G439">
        <f t="shared" ca="1" si="54"/>
        <v>83</v>
      </c>
      <c r="H439">
        <f t="shared" ca="1" si="55"/>
        <v>83</v>
      </c>
      <c r="I439">
        <f t="shared" ca="1" si="48"/>
        <v>0</v>
      </c>
    </row>
    <row r="440" spans="1:9">
      <c r="A440">
        <f t="shared" si="49"/>
        <v>436</v>
      </c>
      <c r="B440">
        <f t="shared" ca="1" si="50"/>
        <v>31</v>
      </c>
      <c r="C440">
        <f t="shared" ca="1" si="51"/>
        <v>83</v>
      </c>
      <c r="D440">
        <f t="shared" ca="1" si="52"/>
        <v>114</v>
      </c>
      <c r="E440">
        <f ca="1">_xll.RiskBinomial($B$1,$B$2)</f>
        <v>88</v>
      </c>
      <c r="F440">
        <f t="shared" ca="1" si="53"/>
        <v>26</v>
      </c>
      <c r="G440">
        <f t="shared" ca="1" si="54"/>
        <v>88</v>
      </c>
      <c r="H440">
        <f t="shared" ca="1" si="55"/>
        <v>88</v>
      </c>
      <c r="I440">
        <f t="shared" ca="1" si="48"/>
        <v>0</v>
      </c>
    </row>
    <row r="441" spans="1:9">
      <c r="A441">
        <f t="shared" si="49"/>
        <v>437</v>
      </c>
      <c r="B441">
        <f t="shared" ca="1" si="50"/>
        <v>26</v>
      </c>
      <c r="C441">
        <f t="shared" ca="1" si="51"/>
        <v>88</v>
      </c>
      <c r="D441">
        <f t="shared" ca="1" si="52"/>
        <v>114</v>
      </c>
      <c r="E441">
        <f ca="1">_xll.RiskBinomial($B$1,$B$2)</f>
        <v>100</v>
      </c>
      <c r="F441">
        <f t="shared" ca="1" si="53"/>
        <v>14</v>
      </c>
      <c r="G441">
        <f t="shared" ca="1" si="54"/>
        <v>100</v>
      </c>
      <c r="H441">
        <f t="shared" ca="1" si="55"/>
        <v>100</v>
      </c>
      <c r="I441">
        <f t="shared" ca="1" si="48"/>
        <v>0</v>
      </c>
    </row>
    <row r="442" spans="1:9">
      <c r="A442">
        <f t="shared" si="49"/>
        <v>438</v>
      </c>
      <c r="B442">
        <f t="shared" ca="1" si="50"/>
        <v>14</v>
      </c>
      <c r="C442">
        <f t="shared" ca="1" si="51"/>
        <v>100</v>
      </c>
      <c r="D442">
        <f t="shared" ca="1" si="52"/>
        <v>114</v>
      </c>
      <c r="E442">
        <f ca="1">_xll.RiskBinomial($B$1,$B$2)</f>
        <v>101</v>
      </c>
      <c r="F442">
        <f t="shared" ca="1" si="53"/>
        <v>13</v>
      </c>
      <c r="G442">
        <f t="shared" ca="1" si="54"/>
        <v>101</v>
      </c>
      <c r="H442">
        <f t="shared" ca="1" si="55"/>
        <v>101</v>
      </c>
      <c r="I442">
        <f t="shared" ca="1" si="48"/>
        <v>0</v>
      </c>
    </row>
    <row r="443" spans="1:9">
      <c r="A443">
        <f t="shared" si="49"/>
        <v>439</v>
      </c>
      <c r="B443">
        <f t="shared" ca="1" si="50"/>
        <v>13</v>
      </c>
      <c r="C443">
        <f t="shared" ca="1" si="51"/>
        <v>101</v>
      </c>
      <c r="D443">
        <f t="shared" ca="1" si="52"/>
        <v>114</v>
      </c>
      <c r="E443">
        <f ca="1">_xll.RiskBinomial($B$1,$B$2)</f>
        <v>90</v>
      </c>
      <c r="F443">
        <f t="shared" ca="1" si="53"/>
        <v>24</v>
      </c>
      <c r="G443">
        <f t="shared" ca="1" si="54"/>
        <v>90</v>
      </c>
      <c r="H443">
        <f t="shared" ca="1" si="55"/>
        <v>90</v>
      </c>
      <c r="I443">
        <f t="shared" ca="1" si="48"/>
        <v>0</v>
      </c>
    </row>
    <row r="444" spans="1:9">
      <c r="A444">
        <f t="shared" si="49"/>
        <v>440</v>
      </c>
      <c r="B444">
        <f t="shared" ca="1" si="50"/>
        <v>24</v>
      </c>
      <c r="C444">
        <f t="shared" ca="1" si="51"/>
        <v>90</v>
      </c>
      <c r="D444">
        <f t="shared" ca="1" si="52"/>
        <v>114</v>
      </c>
      <c r="E444">
        <f ca="1">_xll.RiskBinomial($B$1,$B$2)</f>
        <v>95</v>
      </c>
      <c r="F444">
        <f t="shared" ca="1" si="53"/>
        <v>19</v>
      </c>
      <c r="G444">
        <f t="shared" ca="1" si="54"/>
        <v>95</v>
      </c>
      <c r="H444">
        <f t="shared" ca="1" si="55"/>
        <v>95</v>
      </c>
      <c r="I444">
        <f t="shared" ca="1" si="48"/>
        <v>0</v>
      </c>
    </row>
    <row r="445" spans="1:9">
      <c r="A445">
        <f t="shared" si="49"/>
        <v>441</v>
      </c>
      <c r="B445">
        <f t="shared" ca="1" si="50"/>
        <v>19</v>
      </c>
      <c r="C445">
        <f t="shared" ca="1" si="51"/>
        <v>95</v>
      </c>
      <c r="D445">
        <f t="shared" ca="1" si="52"/>
        <v>114</v>
      </c>
      <c r="E445">
        <f ca="1">_xll.RiskBinomial($B$1,$B$2)</f>
        <v>87</v>
      </c>
      <c r="F445">
        <f t="shared" ca="1" si="53"/>
        <v>27</v>
      </c>
      <c r="G445">
        <f t="shared" ca="1" si="54"/>
        <v>87</v>
      </c>
      <c r="H445">
        <f t="shared" ca="1" si="55"/>
        <v>87</v>
      </c>
      <c r="I445">
        <f t="shared" ca="1" si="48"/>
        <v>0</v>
      </c>
    </row>
    <row r="446" spans="1:9">
      <c r="A446">
        <f t="shared" si="49"/>
        <v>442</v>
      </c>
      <c r="B446">
        <f t="shared" ca="1" si="50"/>
        <v>27</v>
      </c>
      <c r="C446">
        <f t="shared" ca="1" si="51"/>
        <v>87</v>
      </c>
      <c r="D446">
        <f t="shared" ca="1" si="52"/>
        <v>114</v>
      </c>
      <c r="E446">
        <f ca="1">_xll.RiskBinomial($B$1,$B$2)</f>
        <v>88</v>
      </c>
      <c r="F446">
        <f t="shared" ca="1" si="53"/>
        <v>26</v>
      </c>
      <c r="G446">
        <f t="shared" ca="1" si="54"/>
        <v>88</v>
      </c>
      <c r="H446">
        <f t="shared" ca="1" si="55"/>
        <v>88</v>
      </c>
      <c r="I446">
        <f t="shared" ca="1" si="48"/>
        <v>0</v>
      </c>
    </row>
    <row r="447" spans="1:9">
      <c r="A447">
        <f t="shared" si="49"/>
        <v>443</v>
      </c>
      <c r="B447">
        <f t="shared" ca="1" si="50"/>
        <v>26</v>
      </c>
      <c r="C447">
        <f t="shared" ca="1" si="51"/>
        <v>88</v>
      </c>
      <c r="D447">
        <f t="shared" ca="1" si="52"/>
        <v>114</v>
      </c>
      <c r="E447">
        <f ca="1">_xll.RiskBinomial($B$1,$B$2)</f>
        <v>118</v>
      </c>
      <c r="F447">
        <f t="shared" ca="1" si="53"/>
        <v>-4</v>
      </c>
      <c r="G447">
        <f t="shared" ca="1" si="54"/>
        <v>118</v>
      </c>
      <c r="H447">
        <f t="shared" ca="1" si="55"/>
        <v>110</v>
      </c>
      <c r="I447">
        <f t="shared" ca="1" si="48"/>
        <v>1</v>
      </c>
    </row>
    <row r="448" spans="1:9">
      <c r="A448">
        <f t="shared" si="49"/>
        <v>444</v>
      </c>
      <c r="B448">
        <f t="shared" ca="1" si="50"/>
        <v>-4</v>
      </c>
      <c r="C448">
        <f t="shared" ca="1" si="51"/>
        <v>110</v>
      </c>
      <c r="D448">
        <f t="shared" ca="1" si="52"/>
        <v>106</v>
      </c>
      <c r="E448">
        <f ca="1">_xll.RiskBinomial($B$1,$B$2)</f>
        <v>81</v>
      </c>
      <c r="F448">
        <f t="shared" ca="1" si="53"/>
        <v>25</v>
      </c>
      <c r="G448">
        <f t="shared" ca="1" si="54"/>
        <v>89</v>
      </c>
      <c r="H448">
        <f t="shared" ca="1" si="55"/>
        <v>89</v>
      </c>
      <c r="I448">
        <f t="shared" ca="1" si="48"/>
        <v>0</v>
      </c>
    </row>
    <row r="449" spans="1:9">
      <c r="A449">
        <f t="shared" si="49"/>
        <v>445</v>
      </c>
      <c r="B449">
        <f t="shared" ca="1" si="50"/>
        <v>25</v>
      </c>
      <c r="C449">
        <f t="shared" ca="1" si="51"/>
        <v>89</v>
      </c>
      <c r="D449">
        <f t="shared" ca="1" si="52"/>
        <v>114</v>
      </c>
      <c r="E449">
        <f ca="1">_xll.RiskBinomial($B$1,$B$2)</f>
        <v>102</v>
      </c>
      <c r="F449">
        <f t="shared" ca="1" si="53"/>
        <v>12</v>
      </c>
      <c r="G449">
        <f t="shared" ca="1" si="54"/>
        <v>102</v>
      </c>
      <c r="H449">
        <f t="shared" ca="1" si="55"/>
        <v>102</v>
      </c>
      <c r="I449">
        <f t="shared" ca="1" si="48"/>
        <v>0</v>
      </c>
    </row>
    <row r="450" spans="1:9">
      <c r="A450">
        <f t="shared" si="49"/>
        <v>446</v>
      </c>
      <c r="B450">
        <f t="shared" ca="1" si="50"/>
        <v>12</v>
      </c>
      <c r="C450">
        <f t="shared" ca="1" si="51"/>
        <v>102</v>
      </c>
      <c r="D450">
        <f t="shared" ca="1" si="52"/>
        <v>114</v>
      </c>
      <c r="E450">
        <f ca="1">_xll.RiskBinomial($B$1,$B$2)</f>
        <v>99</v>
      </c>
      <c r="F450">
        <f t="shared" ca="1" si="53"/>
        <v>15</v>
      </c>
      <c r="G450">
        <f t="shared" ca="1" si="54"/>
        <v>99</v>
      </c>
      <c r="H450">
        <f t="shared" ca="1" si="55"/>
        <v>99</v>
      </c>
      <c r="I450">
        <f t="shared" ca="1" si="48"/>
        <v>0</v>
      </c>
    </row>
    <row r="451" spans="1:9">
      <c r="A451">
        <f t="shared" si="49"/>
        <v>447</v>
      </c>
      <c r="B451">
        <f t="shared" ca="1" si="50"/>
        <v>15</v>
      </c>
      <c r="C451">
        <f t="shared" ca="1" si="51"/>
        <v>99</v>
      </c>
      <c r="D451">
        <f t="shared" ca="1" si="52"/>
        <v>114</v>
      </c>
      <c r="E451">
        <f ca="1">_xll.RiskBinomial($B$1,$B$2)</f>
        <v>104</v>
      </c>
      <c r="F451">
        <f t="shared" ca="1" si="53"/>
        <v>10</v>
      </c>
      <c r="G451">
        <f t="shared" ca="1" si="54"/>
        <v>104</v>
      </c>
      <c r="H451">
        <f t="shared" ca="1" si="55"/>
        <v>104</v>
      </c>
      <c r="I451">
        <f t="shared" ca="1" si="48"/>
        <v>0</v>
      </c>
    </row>
    <row r="452" spans="1:9">
      <c r="A452">
        <f t="shared" si="49"/>
        <v>448</v>
      </c>
      <c r="B452">
        <f t="shared" ca="1" si="50"/>
        <v>10</v>
      </c>
      <c r="C452">
        <f t="shared" ca="1" si="51"/>
        <v>104</v>
      </c>
      <c r="D452">
        <f t="shared" ca="1" si="52"/>
        <v>114</v>
      </c>
      <c r="E452">
        <f ca="1">_xll.RiskBinomial($B$1,$B$2)</f>
        <v>96</v>
      </c>
      <c r="F452">
        <f t="shared" ca="1" si="53"/>
        <v>18</v>
      </c>
      <c r="G452">
        <f t="shared" ca="1" si="54"/>
        <v>96</v>
      </c>
      <c r="H452">
        <f t="shared" ca="1" si="55"/>
        <v>96</v>
      </c>
      <c r="I452">
        <f t="shared" ca="1" si="48"/>
        <v>0</v>
      </c>
    </row>
    <row r="453" spans="1:9">
      <c r="A453">
        <f t="shared" si="49"/>
        <v>449</v>
      </c>
      <c r="B453">
        <f t="shared" ca="1" si="50"/>
        <v>18</v>
      </c>
      <c r="C453">
        <f t="shared" ca="1" si="51"/>
        <v>96</v>
      </c>
      <c r="D453">
        <f t="shared" ca="1" si="52"/>
        <v>114</v>
      </c>
      <c r="E453">
        <f ca="1">_xll.RiskBinomial($B$1,$B$2)</f>
        <v>104</v>
      </c>
      <c r="F453">
        <f t="shared" ca="1" si="53"/>
        <v>10</v>
      </c>
      <c r="G453">
        <f t="shared" ca="1" si="54"/>
        <v>104</v>
      </c>
      <c r="H453">
        <f t="shared" ca="1" si="55"/>
        <v>104</v>
      </c>
      <c r="I453">
        <f t="shared" ca="1" si="48"/>
        <v>0</v>
      </c>
    </row>
    <row r="454" spans="1:9">
      <c r="A454">
        <f t="shared" si="49"/>
        <v>450</v>
      </c>
      <c r="B454">
        <f t="shared" ca="1" si="50"/>
        <v>10</v>
      </c>
      <c r="C454">
        <f t="shared" ca="1" si="51"/>
        <v>104</v>
      </c>
      <c r="D454">
        <f t="shared" ca="1" si="52"/>
        <v>114</v>
      </c>
      <c r="E454">
        <f ca="1">_xll.RiskBinomial($B$1,$B$2)</f>
        <v>103</v>
      </c>
      <c r="F454">
        <f t="shared" ca="1" si="53"/>
        <v>11</v>
      </c>
      <c r="G454">
        <f t="shared" ca="1" si="54"/>
        <v>103</v>
      </c>
      <c r="H454">
        <f t="shared" ca="1" si="55"/>
        <v>103</v>
      </c>
      <c r="I454">
        <f t="shared" ref="I454:I504" ca="1" si="56">IF(F454&lt;0,1,0)</f>
        <v>0</v>
      </c>
    </row>
    <row r="455" spans="1:9">
      <c r="A455">
        <f t="shared" ref="A455:A504" si="57">A454+1</f>
        <v>451</v>
      </c>
      <c r="B455">
        <f t="shared" ref="B455:B504" ca="1" si="58">F454</f>
        <v>11</v>
      </c>
      <c r="C455">
        <f t="shared" ref="C455:C504" ca="1" si="59">H454</f>
        <v>103</v>
      </c>
      <c r="D455">
        <f t="shared" ref="D455:D504" ca="1" si="60">B455+C455</f>
        <v>114</v>
      </c>
      <c r="E455">
        <f ca="1">_xll.RiskBinomial($B$1,$B$2)</f>
        <v>90</v>
      </c>
      <c r="F455">
        <f t="shared" ref="F455:F504" ca="1" si="61">D455-E455</f>
        <v>24</v>
      </c>
      <c r="G455">
        <f t="shared" ref="G455:G504" ca="1" si="62">$H$1-F455</f>
        <v>90</v>
      </c>
      <c r="H455">
        <f t="shared" ref="H455:H504" ca="1" si="63">MIN(G455,$H$2)</f>
        <v>90</v>
      </c>
      <c r="I455">
        <f t="shared" ca="1" si="56"/>
        <v>0</v>
      </c>
    </row>
    <row r="456" spans="1:9">
      <c r="A456">
        <f t="shared" si="57"/>
        <v>452</v>
      </c>
      <c r="B456">
        <f t="shared" ca="1" si="58"/>
        <v>24</v>
      </c>
      <c r="C456">
        <f t="shared" ca="1" si="59"/>
        <v>90</v>
      </c>
      <c r="D456">
        <f t="shared" ca="1" si="60"/>
        <v>114</v>
      </c>
      <c r="E456">
        <f ca="1">_xll.RiskBinomial($B$1,$B$2)</f>
        <v>102</v>
      </c>
      <c r="F456">
        <f t="shared" ca="1" si="61"/>
        <v>12</v>
      </c>
      <c r="G456">
        <f t="shared" ca="1" si="62"/>
        <v>102</v>
      </c>
      <c r="H456">
        <f t="shared" ca="1" si="63"/>
        <v>102</v>
      </c>
      <c r="I456">
        <f t="shared" ca="1" si="56"/>
        <v>0</v>
      </c>
    </row>
    <row r="457" spans="1:9">
      <c r="A457">
        <f t="shared" si="57"/>
        <v>453</v>
      </c>
      <c r="B457">
        <f t="shared" ca="1" si="58"/>
        <v>12</v>
      </c>
      <c r="C457">
        <f t="shared" ca="1" si="59"/>
        <v>102</v>
      </c>
      <c r="D457">
        <f t="shared" ca="1" si="60"/>
        <v>114</v>
      </c>
      <c r="E457">
        <f ca="1">_xll.RiskBinomial($B$1,$B$2)</f>
        <v>85</v>
      </c>
      <c r="F457">
        <f t="shared" ca="1" si="61"/>
        <v>29</v>
      </c>
      <c r="G457">
        <f t="shared" ca="1" si="62"/>
        <v>85</v>
      </c>
      <c r="H457">
        <f t="shared" ca="1" si="63"/>
        <v>85</v>
      </c>
      <c r="I457">
        <f t="shared" ca="1" si="56"/>
        <v>0</v>
      </c>
    </row>
    <row r="458" spans="1:9">
      <c r="A458">
        <f t="shared" si="57"/>
        <v>454</v>
      </c>
      <c r="B458">
        <f t="shared" ca="1" si="58"/>
        <v>29</v>
      </c>
      <c r="C458">
        <f t="shared" ca="1" si="59"/>
        <v>85</v>
      </c>
      <c r="D458">
        <f t="shared" ca="1" si="60"/>
        <v>114</v>
      </c>
      <c r="E458">
        <f ca="1">_xll.RiskBinomial($B$1,$B$2)</f>
        <v>107</v>
      </c>
      <c r="F458">
        <f t="shared" ca="1" si="61"/>
        <v>7</v>
      </c>
      <c r="G458">
        <f t="shared" ca="1" si="62"/>
        <v>107</v>
      </c>
      <c r="H458">
        <f t="shared" ca="1" si="63"/>
        <v>107</v>
      </c>
      <c r="I458">
        <f t="shared" ca="1" si="56"/>
        <v>0</v>
      </c>
    </row>
    <row r="459" spans="1:9">
      <c r="A459">
        <f t="shared" si="57"/>
        <v>455</v>
      </c>
      <c r="B459">
        <f t="shared" ca="1" si="58"/>
        <v>7</v>
      </c>
      <c r="C459">
        <f t="shared" ca="1" si="59"/>
        <v>107</v>
      </c>
      <c r="D459">
        <f t="shared" ca="1" si="60"/>
        <v>114</v>
      </c>
      <c r="E459">
        <f ca="1">_xll.RiskBinomial($B$1,$B$2)</f>
        <v>98</v>
      </c>
      <c r="F459">
        <f t="shared" ca="1" si="61"/>
        <v>16</v>
      </c>
      <c r="G459">
        <f t="shared" ca="1" si="62"/>
        <v>98</v>
      </c>
      <c r="H459">
        <f t="shared" ca="1" si="63"/>
        <v>98</v>
      </c>
      <c r="I459">
        <f t="shared" ca="1" si="56"/>
        <v>0</v>
      </c>
    </row>
    <row r="460" spans="1:9">
      <c r="A460">
        <f t="shared" si="57"/>
        <v>456</v>
      </c>
      <c r="B460">
        <f t="shared" ca="1" si="58"/>
        <v>16</v>
      </c>
      <c r="C460">
        <f t="shared" ca="1" si="59"/>
        <v>98</v>
      </c>
      <c r="D460">
        <f t="shared" ca="1" si="60"/>
        <v>114</v>
      </c>
      <c r="E460">
        <f ca="1">_xll.RiskBinomial($B$1,$B$2)</f>
        <v>107</v>
      </c>
      <c r="F460">
        <f t="shared" ca="1" si="61"/>
        <v>7</v>
      </c>
      <c r="G460">
        <f t="shared" ca="1" si="62"/>
        <v>107</v>
      </c>
      <c r="H460">
        <f t="shared" ca="1" si="63"/>
        <v>107</v>
      </c>
      <c r="I460">
        <f t="shared" ca="1" si="56"/>
        <v>0</v>
      </c>
    </row>
    <row r="461" spans="1:9">
      <c r="A461">
        <f t="shared" si="57"/>
        <v>457</v>
      </c>
      <c r="B461">
        <f t="shared" ca="1" si="58"/>
        <v>7</v>
      </c>
      <c r="C461">
        <f t="shared" ca="1" si="59"/>
        <v>107</v>
      </c>
      <c r="D461">
        <f t="shared" ca="1" si="60"/>
        <v>114</v>
      </c>
      <c r="E461">
        <f ca="1">_xll.RiskBinomial($B$1,$B$2)</f>
        <v>98</v>
      </c>
      <c r="F461">
        <f t="shared" ca="1" si="61"/>
        <v>16</v>
      </c>
      <c r="G461">
        <f t="shared" ca="1" si="62"/>
        <v>98</v>
      </c>
      <c r="H461">
        <f t="shared" ca="1" si="63"/>
        <v>98</v>
      </c>
      <c r="I461">
        <f t="shared" ca="1" si="56"/>
        <v>0</v>
      </c>
    </row>
    <row r="462" spans="1:9">
      <c r="A462">
        <f t="shared" si="57"/>
        <v>458</v>
      </c>
      <c r="B462">
        <f t="shared" ca="1" si="58"/>
        <v>16</v>
      </c>
      <c r="C462">
        <f t="shared" ca="1" si="59"/>
        <v>98</v>
      </c>
      <c r="D462">
        <f t="shared" ca="1" si="60"/>
        <v>114</v>
      </c>
      <c r="E462">
        <f ca="1">_xll.RiskBinomial($B$1,$B$2)</f>
        <v>94</v>
      </c>
      <c r="F462">
        <f t="shared" ca="1" si="61"/>
        <v>20</v>
      </c>
      <c r="G462">
        <f t="shared" ca="1" si="62"/>
        <v>94</v>
      </c>
      <c r="H462">
        <f t="shared" ca="1" si="63"/>
        <v>94</v>
      </c>
      <c r="I462">
        <f t="shared" ca="1" si="56"/>
        <v>0</v>
      </c>
    </row>
    <row r="463" spans="1:9">
      <c r="A463">
        <f t="shared" si="57"/>
        <v>459</v>
      </c>
      <c r="B463">
        <f t="shared" ca="1" si="58"/>
        <v>20</v>
      </c>
      <c r="C463">
        <f t="shared" ca="1" si="59"/>
        <v>94</v>
      </c>
      <c r="D463">
        <f t="shared" ca="1" si="60"/>
        <v>114</v>
      </c>
      <c r="E463">
        <f ca="1">_xll.RiskBinomial($B$1,$B$2)</f>
        <v>94</v>
      </c>
      <c r="F463">
        <f t="shared" ca="1" si="61"/>
        <v>20</v>
      </c>
      <c r="G463">
        <f t="shared" ca="1" si="62"/>
        <v>94</v>
      </c>
      <c r="H463">
        <f t="shared" ca="1" si="63"/>
        <v>94</v>
      </c>
      <c r="I463">
        <f t="shared" ca="1" si="56"/>
        <v>0</v>
      </c>
    </row>
    <row r="464" spans="1:9">
      <c r="A464">
        <f t="shared" si="57"/>
        <v>460</v>
      </c>
      <c r="B464">
        <f t="shared" ca="1" si="58"/>
        <v>20</v>
      </c>
      <c r="C464">
        <f t="shared" ca="1" si="59"/>
        <v>94</v>
      </c>
      <c r="D464">
        <f t="shared" ca="1" si="60"/>
        <v>114</v>
      </c>
      <c r="E464">
        <f ca="1">_xll.RiskBinomial($B$1,$B$2)</f>
        <v>105</v>
      </c>
      <c r="F464">
        <f t="shared" ca="1" si="61"/>
        <v>9</v>
      </c>
      <c r="G464">
        <f t="shared" ca="1" si="62"/>
        <v>105</v>
      </c>
      <c r="H464">
        <f t="shared" ca="1" si="63"/>
        <v>105</v>
      </c>
      <c r="I464">
        <f t="shared" ca="1" si="56"/>
        <v>0</v>
      </c>
    </row>
    <row r="465" spans="1:9">
      <c r="A465">
        <f t="shared" si="57"/>
        <v>461</v>
      </c>
      <c r="B465">
        <f t="shared" ca="1" si="58"/>
        <v>9</v>
      </c>
      <c r="C465">
        <f t="shared" ca="1" si="59"/>
        <v>105</v>
      </c>
      <c r="D465">
        <f t="shared" ca="1" si="60"/>
        <v>114</v>
      </c>
      <c r="E465">
        <f ca="1">_xll.RiskBinomial($B$1,$B$2)</f>
        <v>101</v>
      </c>
      <c r="F465">
        <f t="shared" ca="1" si="61"/>
        <v>13</v>
      </c>
      <c r="G465">
        <f t="shared" ca="1" si="62"/>
        <v>101</v>
      </c>
      <c r="H465">
        <f t="shared" ca="1" si="63"/>
        <v>101</v>
      </c>
      <c r="I465">
        <f t="shared" ca="1" si="56"/>
        <v>0</v>
      </c>
    </row>
    <row r="466" spans="1:9">
      <c r="A466">
        <f t="shared" si="57"/>
        <v>462</v>
      </c>
      <c r="B466">
        <f t="shared" ca="1" si="58"/>
        <v>13</v>
      </c>
      <c r="C466">
        <f t="shared" ca="1" si="59"/>
        <v>101</v>
      </c>
      <c r="D466">
        <f t="shared" ca="1" si="60"/>
        <v>114</v>
      </c>
      <c r="E466">
        <f ca="1">_xll.RiskBinomial($B$1,$B$2)</f>
        <v>98</v>
      </c>
      <c r="F466">
        <f t="shared" ca="1" si="61"/>
        <v>16</v>
      </c>
      <c r="G466">
        <f t="shared" ca="1" si="62"/>
        <v>98</v>
      </c>
      <c r="H466">
        <f t="shared" ca="1" si="63"/>
        <v>98</v>
      </c>
      <c r="I466">
        <f t="shared" ca="1" si="56"/>
        <v>0</v>
      </c>
    </row>
    <row r="467" spans="1:9">
      <c r="A467">
        <f t="shared" si="57"/>
        <v>463</v>
      </c>
      <c r="B467">
        <f t="shared" ca="1" si="58"/>
        <v>16</v>
      </c>
      <c r="C467">
        <f t="shared" ca="1" si="59"/>
        <v>98</v>
      </c>
      <c r="D467">
        <f t="shared" ca="1" si="60"/>
        <v>114</v>
      </c>
      <c r="E467">
        <f ca="1">_xll.RiskBinomial($B$1,$B$2)</f>
        <v>113</v>
      </c>
      <c r="F467">
        <f t="shared" ca="1" si="61"/>
        <v>1</v>
      </c>
      <c r="G467">
        <f t="shared" ca="1" si="62"/>
        <v>113</v>
      </c>
      <c r="H467">
        <f t="shared" ca="1" si="63"/>
        <v>110</v>
      </c>
      <c r="I467">
        <f t="shared" ca="1" si="56"/>
        <v>0</v>
      </c>
    </row>
    <row r="468" spans="1:9">
      <c r="A468">
        <f t="shared" si="57"/>
        <v>464</v>
      </c>
      <c r="B468">
        <f t="shared" ca="1" si="58"/>
        <v>1</v>
      </c>
      <c r="C468">
        <f t="shared" ca="1" si="59"/>
        <v>110</v>
      </c>
      <c r="D468">
        <f t="shared" ca="1" si="60"/>
        <v>111</v>
      </c>
      <c r="E468">
        <f ca="1">_xll.RiskBinomial($B$1,$B$2)</f>
        <v>108</v>
      </c>
      <c r="F468">
        <f t="shared" ca="1" si="61"/>
        <v>3</v>
      </c>
      <c r="G468">
        <f t="shared" ca="1" si="62"/>
        <v>111</v>
      </c>
      <c r="H468">
        <f t="shared" ca="1" si="63"/>
        <v>110</v>
      </c>
      <c r="I468">
        <f t="shared" ca="1" si="56"/>
        <v>0</v>
      </c>
    </row>
    <row r="469" spans="1:9">
      <c r="A469">
        <f t="shared" si="57"/>
        <v>465</v>
      </c>
      <c r="B469">
        <f t="shared" ca="1" si="58"/>
        <v>3</v>
      </c>
      <c r="C469">
        <f t="shared" ca="1" si="59"/>
        <v>110</v>
      </c>
      <c r="D469">
        <f t="shared" ca="1" si="60"/>
        <v>113</v>
      </c>
      <c r="E469">
        <f ca="1">_xll.RiskBinomial($B$1,$B$2)</f>
        <v>111</v>
      </c>
      <c r="F469">
        <f t="shared" ca="1" si="61"/>
        <v>2</v>
      </c>
      <c r="G469">
        <f t="shared" ca="1" si="62"/>
        <v>112</v>
      </c>
      <c r="H469">
        <f t="shared" ca="1" si="63"/>
        <v>110</v>
      </c>
      <c r="I469">
        <f t="shared" ca="1" si="56"/>
        <v>0</v>
      </c>
    </row>
    <row r="470" spans="1:9">
      <c r="A470">
        <f t="shared" si="57"/>
        <v>466</v>
      </c>
      <c r="B470">
        <f t="shared" ca="1" si="58"/>
        <v>2</v>
      </c>
      <c r="C470">
        <f t="shared" ca="1" si="59"/>
        <v>110</v>
      </c>
      <c r="D470">
        <f t="shared" ca="1" si="60"/>
        <v>112</v>
      </c>
      <c r="E470">
        <f ca="1">_xll.RiskBinomial($B$1,$B$2)</f>
        <v>89</v>
      </c>
      <c r="F470">
        <f t="shared" ca="1" si="61"/>
        <v>23</v>
      </c>
      <c r="G470">
        <f t="shared" ca="1" si="62"/>
        <v>91</v>
      </c>
      <c r="H470">
        <f t="shared" ca="1" si="63"/>
        <v>91</v>
      </c>
      <c r="I470">
        <f t="shared" ca="1" si="56"/>
        <v>0</v>
      </c>
    </row>
    <row r="471" spans="1:9">
      <c r="A471">
        <f t="shared" si="57"/>
        <v>467</v>
      </c>
      <c r="B471">
        <f t="shared" ca="1" si="58"/>
        <v>23</v>
      </c>
      <c r="C471">
        <f t="shared" ca="1" si="59"/>
        <v>91</v>
      </c>
      <c r="D471">
        <f t="shared" ca="1" si="60"/>
        <v>114</v>
      </c>
      <c r="E471">
        <f ca="1">_xll.RiskBinomial($B$1,$B$2)</f>
        <v>119</v>
      </c>
      <c r="F471">
        <f t="shared" ca="1" si="61"/>
        <v>-5</v>
      </c>
      <c r="G471">
        <f t="shared" ca="1" si="62"/>
        <v>119</v>
      </c>
      <c r="H471">
        <f t="shared" ca="1" si="63"/>
        <v>110</v>
      </c>
      <c r="I471">
        <f t="shared" ca="1" si="56"/>
        <v>1</v>
      </c>
    </row>
    <row r="472" spans="1:9">
      <c r="A472">
        <f t="shared" si="57"/>
        <v>468</v>
      </c>
      <c r="B472">
        <f t="shared" ca="1" si="58"/>
        <v>-5</v>
      </c>
      <c r="C472">
        <f t="shared" ca="1" si="59"/>
        <v>110</v>
      </c>
      <c r="D472">
        <f t="shared" ca="1" si="60"/>
        <v>105</v>
      </c>
      <c r="E472">
        <f ca="1">_xll.RiskBinomial($B$1,$B$2)</f>
        <v>119</v>
      </c>
      <c r="F472">
        <f t="shared" ca="1" si="61"/>
        <v>-14</v>
      </c>
      <c r="G472">
        <f t="shared" ca="1" si="62"/>
        <v>128</v>
      </c>
      <c r="H472">
        <f t="shared" ca="1" si="63"/>
        <v>110</v>
      </c>
      <c r="I472">
        <f t="shared" ca="1" si="56"/>
        <v>1</v>
      </c>
    </row>
    <row r="473" spans="1:9">
      <c r="A473">
        <f t="shared" si="57"/>
        <v>469</v>
      </c>
      <c r="B473">
        <f t="shared" ca="1" si="58"/>
        <v>-14</v>
      </c>
      <c r="C473">
        <f t="shared" ca="1" si="59"/>
        <v>110</v>
      </c>
      <c r="D473">
        <f t="shared" ca="1" si="60"/>
        <v>96</v>
      </c>
      <c r="E473">
        <f ca="1">_xll.RiskBinomial($B$1,$B$2)</f>
        <v>97</v>
      </c>
      <c r="F473">
        <f t="shared" ca="1" si="61"/>
        <v>-1</v>
      </c>
      <c r="G473">
        <f t="shared" ca="1" si="62"/>
        <v>115</v>
      </c>
      <c r="H473">
        <f t="shared" ca="1" si="63"/>
        <v>110</v>
      </c>
      <c r="I473">
        <f t="shared" ca="1" si="56"/>
        <v>1</v>
      </c>
    </row>
    <row r="474" spans="1:9">
      <c r="A474">
        <f t="shared" si="57"/>
        <v>470</v>
      </c>
      <c r="B474">
        <f t="shared" ca="1" si="58"/>
        <v>-1</v>
      </c>
      <c r="C474">
        <f t="shared" ca="1" si="59"/>
        <v>110</v>
      </c>
      <c r="D474">
        <f t="shared" ca="1" si="60"/>
        <v>109</v>
      </c>
      <c r="E474">
        <f ca="1">_xll.RiskBinomial($B$1,$B$2)</f>
        <v>95</v>
      </c>
      <c r="F474">
        <f t="shared" ca="1" si="61"/>
        <v>14</v>
      </c>
      <c r="G474">
        <f t="shared" ca="1" si="62"/>
        <v>100</v>
      </c>
      <c r="H474">
        <f t="shared" ca="1" si="63"/>
        <v>100</v>
      </c>
      <c r="I474">
        <f t="shared" ca="1" si="56"/>
        <v>0</v>
      </c>
    </row>
    <row r="475" spans="1:9">
      <c r="A475">
        <f t="shared" si="57"/>
        <v>471</v>
      </c>
      <c r="B475">
        <f t="shared" ca="1" si="58"/>
        <v>14</v>
      </c>
      <c r="C475">
        <f t="shared" ca="1" si="59"/>
        <v>100</v>
      </c>
      <c r="D475">
        <f t="shared" ca="1" si="60"/>
        <v>114</v>
      </c>
      <c r="E475">
        <f ca="1">_xll.RiskBinomial($B$1,$B$2)</f>
        <v>90</v>
      </c>
      <c r="F475">
        <f t="shared" ca="1" si="61"/>
        <v>24</v>
      </c>
      <c r="G475">
        <f t="shared" ca="1" si="62"/>
        <v>90</v>
      </c>
      <c r="H475">
        <f t="shared" ca="1" si="63"/>
        <v>90</v>
      </c>
      <c r="I475">
        <f t="shared" ca="1" si="56"/>
        <v>0</v>
      </c>
    </row>
    <row r="476" spans="1:9">
      <c r="A476">
        <f t="shared" si="57"/>
        <v>472</v>
      </c>
      <c r="B476">
        <f t="shared" ca="1" si="58"/>
        <v>24</v>
      </c>
      <c r="C476">
        <f t="shared" ca="1" si="59"/>
        <v>90</v>
      </c>
      <c r="D476">
        <f t="shared" ca="1" si="60"/>
        <v>114</v>
      </c>
      <c r="E476">
        <f ca="1">_xll.RiskBinomial($B$1,$B$2)</f>
        <v>84</v>
      </c>
      <c r="F476">
        <f t="shared" ca="1" si="61"/>
        <v>30</v>
      </c>
      <c r="G476">
        <f t="shared" ca="1" si="62"/>
        <v>84</v>
      </c>
      <c r="H476">
        <f t="shared" ca="1" si="63"/>
        <v>84</v>
      </c>
      <c r="I476">
        <f t="shared" ca="1" si="56"/>
        <v>0</v>
      </c>
    </row>
    <row r="477" spans="1:9">
      <c r="A477">
        <f t="shared" si="57"/>
        <v>473</v>
      </c>
      <c r="B477">
        <f t="shared" ca="1" si="58"/>
        <v>30</v>
      </c>
      <c r="C477">
        <f t="shared" ca="1" si="59"/>
        <v>84</v>
      </c>
      <c r="D477">
        <f t="shared" ca="1" si="60"/>
        <v>114</v>
      </c>
      <c r="E477">
        <f ca="1">_xll.RiskBinomial($B$1,$B$2)</f>
        <v>94</v>
      </c>
      <c r="F477">
        <f t="shared" ca="1" si="61"/>
        <v>20</v>
      </c>
      <c r="G477">
        <f t="shared" ca="1" si="62"/>
        <v>94</v>
      </c>
      <c r="H477">
        <f t="shared" ca="1" si="63"/>
        <v>94</v>
      </c>
      <c r="I477">
        <f t="shared" ca="1" si="56"/>
        <v>0</v>
      </c>
    </row>
    <row r="478" spans="1:9">
      <c r="A478">
        <f t="shared" si="57"/>
        <v>474</v>
      </c>
      <c r="B478">
        <f t="shared" ca="1" si="58"/>
        <v>20</v>
      </c>
      <c r="C478">
        <f t="shared" ca="1" si="59"/>
        <v>94</v>
      </c>
      <c r="D478">
        <f t="shared" ca="1" si="60"/>
        <v>114</v>
      </c>
      <c r="E478">
        <f ca="1">_xll.RiskBinomial($B$1,$B$2)</f>
        <v>109</v>
      </c>
      <c r="F478">
        <f t="shared" ca="1" si="61"/>
        <v>5</v>
      </c>
      <c r="G478">
        <f t="shared" ca="1" si="62"/>
        <v>109</v>
      </c>
      <c r="H478">
        <f t="shared" ca="1" si="63"/>
        <v>109</v>
      </c>
      <c r="I478">
        <f t="shared" ca="1" si="56"/>
        <v>0</v>
      </c>
    </row>
    <row r="479" spans="1:9">
      <c r="A479">
        <f t="shared" si="57"/>
        <v>475</v>
      </c>
      <c r="B479">
        <f t="shared" ca="1" si="58"/>
        <v>5</v>
      </c>
      <c r="C479">
        <f t="shared" ca="1" si="59"/>
        <v>109</v>
      </c>
      <c r="D479">
        <f t="shared" ca="1" si="60"/>
        <v>114</v>
      </c>
      <c r="E479">
        <f ca="1">_xll.RiskBinomial($B$1,$B$2)</f>
        <v>96</v>
      </c>
      <c r="F479">
        <f t="shared" ca="1" si="61"/>
        <v>18</v>
      </c>
      <c r="G479">
        <f t="shared" ca="1" si="62"/>
        <v>96</v>
      </c>
      <c r="H479">
        <f t="shared" ca="1" si="63"/>
        <v>96</v>
      </c>
      <c r="I479">
        <f t="shared" ca="1" si="56"/>
        <v>0</v>
      </c>
    </row>
    <row r="480" spans="1:9">
      <c r="A480">
        <f t="shared" si="57"/>
        <v>476</v>
      </c>
      <c r="B480">
        <f t="shared" ca="1" si="58"/>
        <v>18</v>
      </c>
      <c r="C480">
        <f t="shared" ca="1" si="59"/>
        <v>96</v>
      </c>
      <c r="D480">
        <f t="shared" ca="1" si="60"/>
        <v>114</v>
      </c>
      <c r="E480">
        <f ca="1">_xll.RiskBinomial($B$1,$B$2)</f>
        <v>101</v>
      </c>
      <c r="F480">
        <f t="shared" ca="1" si="61"/>
        <v>13</v>
      </c>
      <c r="G480">
        <f t="shared" ca="1" si="62"/>
        <v>101</v>
      </c>
      <c r="H480">
        <f t="shared" ca="1" si="63"/>
        <v>101</v>
      </c>
      <c r="I480">
        <f t="shared" ca="1" si="56"/>
        <v>0</v>
      </c>
    </row>
    <row r="481" spans="1:9">
      <c r="A481">
        <f t="shared" si="57"/>
        <v>477</v>
      </c>
      <c r="B481">
        <f t="shared" ca="1" si="58"/>
        <v>13</v>
      </c>
      <c r="C481">
        <f t="shared" ca="1" si="59"/>
        <v>101</v>
      </c>
      <c r="D481">
        <f t="shared" ca="1" si="60"/>
        <v>114</v>
      </c>
      <c r="E481">
        <f ca="1">_xll.RiskBinomial($B$1,$B$2)</f>
        <v>101</v>
      </c>
      <c r="F481">
        <f t="shared" ca="1" si="61"/>
        <v>13</v>
      </c>
      <c r="G481">
        <f t="shared" ca="1" si="62"/>
        <v>101</v>
      </c>
      <c r="H481">
        <f t="shared" ca="1" si="63"/>
        <v>101</v>
      </c>
      <c r="I481">
        <f t="shared" ca="1" si="56"/>
        <v>0</v>
      </c>
    </row>
    <row r="482" spans="1:9">
      <c r="A482">
        <f t="shared" si="57"/>
        <v>478</v>
      </c>
      <c r="B482">
        <f t="shared" ca="1" si="58"/>
        <v>13</v>
      </c>
      <c r="C482">
        <f t="shared" ca="1" si="59"/>
        <v>101</v>
      </c>
      <c r="D482">
        <f t="shared" ca="1" si="60"/>
        <v>114</v>
      </c>
      <c r="E482">
        <f ca="1">_xll.RiskBinomial($B$1,$B$2)</f>
        <v>99</v>
      </c>
      <c r="F482">
        <f t="shared" ca="1" si="61"/>
        <v>15</v>
      </c>
      <c r="G482">
        <f t="shared" ca="1" si="62"/>
        <v>99</v>
      </c>
      <c r="H482">
        <f t="shared" ca="1" si="63"/>
        <v>99</v>
      </c>
      <c r="I482">
        <f t="shared" ca="1" si="56"/>
        <v>0</v>
      </c>
    </row>
    <row r="483" spans="1:9">
      <c r="A483">
        <f t="shared" si="57"/>
        <v>479</v>
      </c>
      <c r="B483">
        <f t="shared" ca="1" si="58"/>
        <v>15</v>
      </c>
      <c r="C483">
        <f t="shared" ca="1" si="59"/>
        <v>99</v>
      </c>
      <c r="D483">
        <f t="shared" ca="1" si="60"/>
        <v>114</v>
      </c>
      <c r="E483">
        <f ca="1">_xll.RiskBinomial($B$1,$B$2)</f>
        <v>79</v>
      </c>
      <c r="F483">
        <f t="shared" ca="1" si="61"/>
        <v>35</v>
      </c>
      <c r="G483">
        <f t="shared" ca="1" si="62"/>
        <v>79</v>
      </c>
      <c r="H483">
        <f t="shared" ca="1" si="63"/>
        <v>79</v>
      </c>
      <c r="I483">
        <f t="shared" ca="1" si="56"/>
        <v>0</v>
      </c>
    </row>
    <row r="484" spans="1:9">
      <c r="A484">
        <f t="shared" si="57"/>
        <v>480</v>
      </c>
      <c r="B484">
        <f t="shared" ca="1" si="58"/>
        <v>35</v>
      </c>
      <c r="C484">
        <f t="shared" ca="1" si="59"/>
        <v>79</v>
      </c>
      <c r="D484">
        <f t="shared" ca="1" si="60"/>
        <v>114</v>
      </c>
      <c r="E484">
        <f ca="1">_xll.RiskBinomial($B$1,$B$2)</f>
        <v>112</v>
      </c>
      <c r="F484">
        <f t="shared" ca="1" si="61"/>
        <v>2</v>
      </c>
      <c r="G484">
        <f t="shared" ca="1" si="62"/>
        <v>112</v>
      </c>
      <c r="H484">
        <f t="shared" ca="1" si="63"/>
        <v>110</v>
      </c>
      <c r="I484">
        <f t="shared" ca="1" si="56"/>
        <v>0</v>
      </c>
    </row>
    <row r="485" spans="1:9">
      <c r="A485">
        <f t="shared" si="57"/>
        <v>481</v>
      </c>
      <c r="B485">
        <f t="shared" ca="1" si="58"/>
        <v>2</v>
      </c>
      <c r="C485">
        <f t="shared" ca="1" si="59"/>
        <v>110</v>
      </c>
      <c r="D485">
        <f t="shared" ca="1" si="60"/>
        <v>112</v>
      </c>
      <c r="E485">
        <f ca="1">_xll.RiskBinomial($B$1,$B$2)</f>
        <v>96</v>
      </c>
      <c r="F485">
        <f t="shared" ca="1" si="61"/>
        <v>16</v>
      </c>
      <c r="G485">
        <f t="shared" ca="1" si="62"/>
        <v>98</v>
      </c>
      <c r="H485">
        <f t="shared" ca="1" si="63"/>
        <v>98</v>
      </c>
      <c r="I485">
        <f t="shared" ca="1" si="56"/>
        <v>0</v>
      </c>
    </row>
    <row r="486" spans="1:9">
      <c r="A486">
        <f t="shared" si="57"/>
        <v>482</v>
      </c>
      <c r="B486">
        <f t="shared" ca="1" si="58"/>
        <v>16</v>
      </c>
      <c r="C486">
        <f t="shared" ca="1" si="59"/>
        <v>98</v>
      </c>
      <c r="D486">
        <f t="shared" ca="1" si="60"/>
        <v>114</v>
      </c>
      <c r="E486">
        <f ca="1">_xll.RiskBinomial($B$1,$B$2)</f>
        <v>100</v>
      </c>
      <c r="F486">
        <f t="shared" ca="1" si="61"/>
        <v>14</v>
      </c>
      <c r="G486">
        <f t="shared" ca="1" si="62"/>
        <v>100</v>
      </c>
      <c r="H486">
        <f t="shared" ca="1" si="63"/>
        <v>100</v>
      </c>
      <c r="I486">
        <f t="shared" ca="1" si="56"/>
        <v>0</v>
      </c>
    </row>
    <row r="487" spans="1:9">
      <c r="A487">
        <f t="shared" si="57"/>
        <v>483</v>
      </c>
      <c r="B487">
        <f t="shared" ca="1" si="58"/>
        <v>14</v>
      </c>
      <c r="C487">
        <f t="shared" ca="1" si="59"/>
        <v>100</v>
      </c>
      <c r="D487">
        <f t="shared" ca="1" si="60"/>
        <v>114</v>
      </c>
      <c r="E487">
        <f ca="1">_xll.RiskBinomial($B$1,$B$2)</f>
        <v>95</v>
      </c>
      <c r="F487">
        <f t="shared" ca="1" si="61"/>
        <v>19</v>
      </c>
      <c r="G487">
        <f t="shared" ca="1" si="62"/>
        <v>95</v>
      </c>
      <c r="H487">
        <f t="shared" ca="1" si="63"/>
        <v>95</v>
      </c>
      <c r="I487">
        <f t="shared" ca="1" si="56"/>
        <v>0</v>
      </c>
    </row>
    <row r="488" spans="1:9">
      <c r="A488">
        <f t="shared" si="57"/>
        <v>484</v>
      </c>
      <c r="B488">
        <f t="shared" ca="1" si="58"/>
        <v>19</v>
      </c>
      <c r="C488">
        <f t="shared" ca="1" si="59"/>
        <v>95</v>
      </c>
      <c r="D488">
        <f t="shared" ca="1" si="60"/>
        <v>114</v>
      </c>
      <c r="E488">
        <f ca="1">_xll.RiskBinomial($B$1,$B$2)</f>
        <v>108</v>
      </c>
      <c r="F488">
        <f t="shared" ca="1" si="61"/>
        <v>6</v>
      </c>
      <c r="G488">
        <f t="shared" ca="1" si="62"/>
        <v>108</v>
      </c>
      <c r="H488">
        <f t="shared" ca="1" si="63"/>
        <v>108</v>
      </c>
      <c r="I488">
        <f t="shared" ca="1" si="56"/>
        <v>0</v>
      </c>
    </row>
    <row r="489" spans="1:9">
      <c r="A489">
        <f t="shared" si="57"/>
        <v>485</v>
      </c>
      <c r="B489">
        <f t="shared" ca="1" si="58"/>
        <v>6</v>
      </c>
      <c r="C489">
        <f t="shared" ca="1" si="59"/>
        <v>108</v>
      </c>
      <c r="D489">
        <f t="shared" ca="1" si="60"/>
        <v>114</v>
      </c>
      <c r="E489">
        <f ca="1">_xll.RiskBinomial($B$1,$B$2)</f>
        <v>103</v>
      </c>
      <c r="F489">
        <f t="shared" ca="1" si="61"/>
        <v>11</v>
      </c>
      <c r="G489">
        <f t="shared" ca="1" si="62"/>
        <v>103</v>
      </c>
      <c r="H489">
        <f t="shared" ca="1" si="63"/>
        <v>103</v>
      </c>
      <c r="I489">
        <f t="shared" ca="1" si="56"/>
        <v>0</v>
      </c>
    </row>
    <row r="490" spans="1:9">
      <c r="A490">
        <f t="shared" si="57"/>
        <v>486</v>
      </c>
      <c r="B490">
        <f t="shared" ca="1" si="58"/>
        <v>11</v>
      </c>
      <c r="C490">
        <f t="shared" ca="1" si="59"/>
        <v>103</v>
      </c>
      <c r="D490">
        <f t="shared" ca="1" si="60"/>
        <v>114</v>
      </c>
      <c r="E490">
        <f ca="1">_xll.RiskBinomial($B$1,$B$2)</f>
        <v>116</v>
      </c>
      <c r="F490">
        <f t="shared" ca="1" si="61"/>
        <v>-2</v>
      </c>
      <c r="G490">
        <f t="shared" ca="1" si="62"/>
        <v>116</v>
      </c>
      <c r="H490">
        <f t="shared" ca="1" si="63"/>
        <v>110</v>
      </c>
      <c r="I490">
        <f t="shared" ca="1" si="56"/>
        <v>1</v>
      </c>
    </row>
    <row r="491" spans="1:9">
      <c r="A491">
        <f t="shared" si="57"/>
        <v>487</v>
      </c>
      <c r="B491">
        <f t="shared" ca="1" si="58"/>
        <v>-2</v>
      </c>
      <c r="C491">
        <f t="shared" ca="1" si="59"/>
        <v>110</v>
      </c>
      <c r="D491">
        <f t="shared" ca="1" si="60"/>
        <v>108</v>
      </c>
      <c r="E491">
        <f ca="1">_xll.RiskBinomial($B$1,$B$2)</f>
        <v>99</v>
      </c>
      <c r="F491">
        <f t="shared" ca="1" si="61"/>
        <v>9</v>
      </c>
      <c r="G491">
        <f t="shared" ca="1" si="62"/>
        <v>105</v>
      </c>
      <c r="H491">
        <f t="shared" ca="1" si="63"/>
        <v>105</v>
      </c>
      <c r="I491">
        <f t="shared" ca="1" si="56"/>
        <v>0</v>
      </c>
    </row>
    <row r="492" spans="1:9">
      <c r="A492">
        <f t="shared" si="57"/>
        <v>488</v>
      </c>
      <c r="B492">
        <f t="shared" ca="1" si="58"/>
        <v>9</v>
      </c>
      <c r="C492">
        <f t="shared" ca="1" si="59"/>
        <v>105</v>
      </c>
      <c r="D492">
        <f t="shared" ca="1" si="60"/>
        <v>114</v>
      </c>
      <c r="E492">
        <f ca="1">_xll.RiskBinomial($B$1,$B$2)</f>
        <v>104</v>
      </c>
      <c r="F492">
        <f t="shared" ca="1" si="61"/>
        <v>10</v>
      </c>
      <c r="G492">
        <f t="shared" ca="1" si="62"/>
        <v>104</v>
      </c>
      <c r="H492">
        <f t="shared" ca="1" si="63"/>
        <v>104</v>
      </c>
      <c r="I492">
        <f t="shared" ca="1" si="56"/>
        <v>0</v>
      </c>
    </row>
    <row r="493" spans="1:9">
      <c r="A493">
        <f t="shared" si="57"/>
        <v>489</v>
      </c>
      <c r="B493">
        <f t="shared" ca="1" si="58"/>
        <v>10</v>
      </c>
      <c r="C493">
        <f t="shared" ca="1" si="59"/>
        <v>104</v>
      </c>
      <c r="D493">
        <f t="shared" ca="1" si="60"/>
        <v>114</v>
      </c>
      <c r="E493">
        <f ca="1">_xll.RiskBinomial($B$1,$B$2)</f>
        <v>100</v>
      </c>
      <c r="F493">
        <f t="shared" ca="1" si="61"/>
        <v>14</v>
      </c>
      <c r="G493">
        <f t="shared" ca="1" si="62"/>
        <v>100</v>
      </c>
      <c r="H493">
        <f t="shared" ca="1" si="63"/>
        <v>100</v>
      </c>
      <c r="I493">
        <f t="shared" ca="1" si="56"/>
        <v>0</v>
      </c>
    </row>
    <row r="494" spans="1:9">
      <c r="A494">
        <f t="shared" si="57"/>
        <v>490</v>
      </c>
      <c r="B494">
        <f t="shared" ca="1" si="58"/>
        <v>14</v>
      </c>
      <c r="C494">
        <f t="shared" ca="1" si="59"/>
        <v>100</v>
      </c>
      <c r="D494">
        <f t="shared" ca="1" si="60"/>
        <v>114</v>
      </c>
      <c r="E494">
        <f ca="1">_xll.RiskBinomial($B$1,$B$2)</f>
        <v>98</v>
      </c>
      <c r="F494">
        <f t="shared" ca="1" si="61"/>
        <v>16</v>
      </c>
      <c r="G494">
        <f t="shared" ca="1" si="62"/>
        <v>98</v>
      </c>
      <c r="H494">
        <f t="shared" ca="1" si="63"/>
        <v>98</v>
      </c>
      <c r="I494">
        <f t="shared" ca="1" si="56"/>
        <v>0</v>
      </c>
    </row>
    <row r="495" spans="1:9">
      <c r="A495">
        <f t="shared" si="57"/>
        <v>491</v>
      </c>
      <c r="B495">
        <f t="shared" ca="1" si="58"/>
        <v>16</v>
      </c>
      <c r="C495">
        <f t="shared" ca="1" si="59"/>
        <v>98</v>
      </c>
      <c r="D495">
        <f t="shared" ca="1" si="60"/>
        <v>114</v>
      </c>
      <c r="E495">
        <f ca="1">_xll.RiskBinomial($B$1,$B$2)</f>
        <v>105</v>
      </c>
      <c r="F495">
        <f t="shared" ca="1" si="61"/>
        <v>9</v>
      </c>
      <c r="G495">
        <f t="shared" ca="1" si="62"/>
        <v>105</v>
      </c>
      <c r="H495">
        <f t="shared" ca="1" si="63"/>
        <v>105</v>
      </c>
      <c r="I495">
        <f t="shared" ca="1" si="56"/>
        <v>0</v>
      </c>
    </row>
    <row r="496" spans="1:9">
      <c r="A496">
        <f t="shared" si="57"/>
        <v>492</v>
      </c>
      <c r="B496">
        <f t="shared" ca="1" si="58"/>
        <v>9</v>
      </c>
      <c r="C496">
        <f t="shared" ca="1" si="59"/>
        <v>105</v>
      </c>
      <c r="D496">
        <f t="shared" ca="1" si="60"/>
        <v>114</v>
      </c>
      <c r="E496">
        <f ca="1">_xll.RiskBinomial($B$1,$B$2)</f>
        <v>101</v>
      </c>
      <c r="F496">
        <f t="shared" ca="1" si="61"/>
        <v>13</v>
      </c>
      <c r="G496">
        <f t="shared" ca="1" si="62"/>
        <v>101</v>
      </c>
      <c r="H496">
        <f t="shared" ca="1" si="63"/>
        <v>101</v>
      </c>
      <c r="I496">
        <f t="shared" ca="1" si="56"/>
        <v>0</v>
      </c>
    </row>
    <row r="497" spans="1:9">
      <c r="A497">
        <f t="shared" si="57"/>
        <v>493</v>
      </c>
      <c r="B497">
        <f t="shared" ca="1" si="58"/>
        <v>13</v>
      </c>
      <c r="C497">
        <f t="shared" ca="1" si="59"/>
        <v>101</v>
      </c>
      <c r="D497">
        <f t="shared" ca="1" si="60"/>
        <v>114</v>
      </c>
      <c r="E497">
        <f ca="1">_xll.RiskBinomial($B$1,$B$2)</f>
        <v>88</v>
      </c>
      <c r="F497">
        <f t="shared" ca="1" si="61"/>
        <v>26</v>
      </c>
      <c r="G497">
        <f t="shared" ca="1" si="62"/>
        <v>88</v>
      </c>
      <c r="H497">
        <f t="shared" ca="1" si="63"/>
        <v>88</v>
      </c>
      <c r="I497">
        <f t="shared" ca="1" si="56"/>
        <v>0</v>
      </c>
    </row>
    <row r="498" spans="1:9">
      <c r="A498">
        <f t="shared" si="57"/>
        <v>494</v>
      </c>
      <c r="B498">
        <f t="shared" ca="1" si="58"/>
        <v>26</v>
      </c>
      <c r="C498">
        <f t="shared" ca="1" si="59"/>
        <v>88</v>
      </c>
      <c r="D498">
        <f t="shared" ca="1" si="60"/>
        <v>114</v>
      </c>
      <c r="E498">
        <f ca="1">_xll.RiskBinomial($B$1,$B$2)</f>
        <v>103</v>
      </c>
      <c r="F498">
        <f t="shared" ca="1" si="61"/>
        <v>11</v>
      </c>
      <c r="G498">
        <f t="shared" ca="1" si="62"/>
        <v>103</v>
      </c>
      <c r="H498">
        <f t="shared" ca="1" si="63"/>
        <v>103</v>
      </c>
      <c r="I498">
        <f t="shared" ca="1" si="56"/>
        <v>0</v>
      </c>
    </row>
    <row r="499" spans="1:9">
      <c r="A499">
        <f t="shared" si="57"/>
        <v>495</v>
      </c>
      <c r="B499">
        <f t="shared" ca="1" si="58"/>
        <v>11</v>
      </c>
      <c r="C499">
        <f t="shared" ca="1" si="59"/>
        <v>103</v>
      </c>
      <c r="D499">
        <f t="shared" ca="1" si="60"/>
        <v>114</v>
      </c>
      <c r="E499">
        <f ca="1">_xll.RiskBinomial($B$1,$B$2)</f>
        <v>104</v>
      </c>
      <c r="F499">
        <f t="shared" ca="1" si="61"/>
        <v>10</v>
      </c>
      <c r="G499">
        <f t="shared" ca="1" si="62"/>
        <v>104</v>
      </c>
      <c r="H499">
        <f t="shared" ca="1" si="63"/>
        <v>104</v>
      </c>
      <c r="I499">
        <f t="shared" ca="1" si="56"/>
        <v>0</v>
      </c>
    </row>
    <row r="500" spans="1:9">
      <c r="A500">
        <f t="shared" si="57"/>
        <v>496</v>
      </c>
      <c r="B500">
        <f t="shared" ca="1" si="58"/>
        <v>10</v>
      </c>
      <c r="C500">
        <f t="shared" ca="1" si="59"/>
        <v>104</v>
      </c>
      <c r="D500">
        <f t="shared" ca="1" si="60"/>
        <v>114</v>
      </c>
      <c r="E500">
        <f ca="1">_xll.RiskBinomial($B$1,$B$2)</f>
        <v>99</v>
      </c>
      <c r="F500">
        <f t="shared" ca="1" si="61"/>
        <v>15</v>
      </c>
      <c r="G500">
        <f t="shared" ca="1" si="62"/>
        <v>99</v>
      </c>
      <c r="H500">
        <f t="shared" ca="1" si="63"/>
        <v>99</v>
      </c>
      <c r="I500">
        <f t="shared" ca="1" si="56"/>
        <v>0</v>
      </c>
    </row>
    <row r="501" spans="1:9">
      <c r="A501">
        <f t="shared" si="57"/>
        <v>497</v>
      </c>
      <c r="B501">
        <f t="shared" ca="1" si="58"/>
        <v>15</v>
      </c>
      <c r="C501">
        <f t="shared" ca="1" si="59"/>
        <v>99</v>
      </c>
      <c r="D501">
        <f t="shared" ca="1" si="60"/>
        <v>114</v>
      </c>
      <c r="E501">
        <f ca="1">_xll.RiskBinomial($B$1,$B$2)</f>
        <v>115</v>
      </c>
      <c r="F501">
        <f t="shared" ca="1" si="61"/>
        <v>-1</v>
      </c>
      <c r="G501">
        <f t="shared" ca="1" si="62"/>
        <v>115</v>
      </c>
      <c r="H501">
        <f t="shared" ca="1" si="63"/>
        <v>110</v>
      </c>
      <c r="I501">
        <f t="shared" ca="1" si="56"/>
        <v>1</v>
      </c>
    </row>
    <row r="502" spans="1:9">
      <c r="A502">
        <f t="shared" si="57"/>
        <v>498</v>
      </c>
      <c r="B502">
        <f t="shared" ca="1" si="58"/>
        <v>-1</v>
      </c>
      <c r="C502">
        <f t="shared" ca="1" si="59"/>
        <v>110</v>
      </c>
      <c r="D502">
        <f t="shared" ca="1" si="60"/>
        <v>109</v>
      </c>
      <c r="E502">
        <f ca="1">_xll.RiskBinomial($B$1,$B$2)</f>
        <v>91</v>
      </c>
      <c r="F502">
        <f t="shared" ca="1" si="61"/>
        <v>18</v>
      </c>
      <c r="G502">
        <f t="shared" ca="1" si="62"/>
        <v>96</v>
      </c>
      <c r="H502">
        <f t="shared" ca="1" si="63"/>
        <v>96</v>
      </c>
      <c r="I502">
        <f t="shared" ca="1" si="56"/>
        <v>0</v>
      </c>
    </row>
    <row r="503" spans="1:9">
      <c r="A503">
        <f t="shared" si="57"/>
        <v>499</v>
      </c>
      <c r="B503">
        <f t="shared" ca="1" si="58"/>
        <v>18</v>
      </c>
      <c r="C503">
        <f t="shared" ca="1" si="59"/>
        <v>96</v>
      </c>
      <c r="D503">
        <f t="shared" ca="1" si="60"/>
        <v>114</v>
      </c>
      <c r="E503">
        <f ca="1">_xll.RiskBinomial($B$1,$B$2)</f>
        <v>93</v>
      </c>
      <c r="F503">
        <f t="shared" ca="1" si="61"/>
        <v>21</v>
      </c>
      <c r="G503">
        <f t="shared" ca="1" si="62"/>
        <v>93</v>
      </c>
      <c r="H503">
        <f t="shared" ca="1" si="63"/>
        <v>93</v>
      </c>
      <c r="I503">
        <f t="shared" ca="1" si="56"/>
        <v>0</v>
      </c>
    </row>
    <row r="504" spans="1:9">
      <c r="A504">
        <f t="shared" si="57"/>
        <v>500</v>
      </c>
      <c r="B504">
        <f t="shared" ca="1" si="58"/>
        <v>21</v>
      </c>
      <c r="C504">
        <f t="shared" ca="1" si="59"/>
        <v>93</v>
      </c>
      <c r="D504">
        <f t="shared" ca="1" si="60"/>
        <v>114</v>
      </c>
      <c r="E504">
        <f ca="1">_xll.RiskBinomial($B$1,$B$2)</f>
        <v>100</v>
      </c>
      <c r="F504">
        <f t="shared" ca="1" si="61"/>
        <v>14</v>
      </c>
      <c r="G504">
        <f t="shared" ca="1" si="62"/>
        <v>100</v>
      </c>
      <c r="H504">
        <f t="shared" ca="1" si="63"/>
        <v>100</v>
      </c>
      <c r="I504">
        <f t="shared" ca="1" si="56"/>
        <v>0</v>
      </c>
    </row>
    <row r="505" spans="1:9">
      <c r="I505">
        <f ca="1">AVERAGE(I5:I504)</f>
        <v>7.3999999999999996E-2</v>
      </c>
    </row>
  </sheetData>
  <phoneticPr fontId="0" type="noConversion"/>
  <conditionalFormatting sqref="I5:I505">
    <cfRule type="cellIs" dxfId="0" priority="1" stopIfTrue="1" operator="greater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41"/>
  <sheetViews>
    <sheetView zoomScale="120" zoomScaleNormal="120" workbookViewId="0">
      <selection activeCell="A29" sqref="A29"/>
    </sheetView>
  </sheetViews>
  <sheetFormatPr baseColWidth="10" defaultRowHeight="13.2"/>
  <sheetData>
    <row r="1" spans="1:4">
      <c r="A1">
        <f ca="1">ROUND(_xlfn.NORM.INV(RAND(),300,20),2)</f>
        <v>319.48</v>
      </c>
      <c r="D1">
        <f ca="1">_xll.RiskNormal(1.75,0.07)</f>
        <v>1.8102429862688152</v>
      </c>
    </row>
    <row r="2" spans="1:4">
      <c r="A2">
        <f t="shared" ref="A2:A65" ca="1" si="0">ROUND(_xlfn.NORM.INV(RAND(),300,20),2)</f>
        <v>281.41000000000003</v>
      </c>
    </row>
    <row r="3" spans="1:4">
      <c r="A3">
        <f t="shared" ca="1" si="0"/>
        <v>287.27999999999997</v>
      </c>
    </row>
    <row r="4" spans="1:4">
      <c r="A4">
        <f t="shared" ca="1" si="0"/>
        <v>269.12</v>
      </c>
    </row>
    <row r="5" spans="1:4">
      <c r="A5">
        <f t="shared" ca="1" si="0"/>
        <v>315.20999999999998</v>
      </c>
    </row>
    <row r="6" spans="1:4">
      <c r="A6">
        <f t="shared" ca="1" si="0"/>
        <v>323.23</v>
      </c>
    </row>
    <row r="7" spans="1:4">
      <c r="A7">
        <f t="shared" ca="1" si="0"/>
        <v>269.89</v>
      </c>
    </row>
    <row r="8" spans="1:4">
      <c r="A8">
        <f t="shared" ca="1" si="0"/>
        <v>249.46</v>
      </c>
    </row>
    <row r="9" spans="1:4">
      <c r="A9">
        <f t="shared" ca="1" si="0"/>
        <v>322.27999999999997</v>
      </c>
    </row>
    <row r="10" spans="1:4">
      <c r="A10">
        <f t="shared" ca="1" si="0"/>
        <v>249.09</v>
      </c>
    </row>
    <row r="11" spans="1:4">
      <c r="A11">
        <f t="shared" ca="1" si="0"/>
        <v>310.36</v>
      </c>
    </row>
    <row r="12" spans="1:4">
      <c r="A12">
        <f t="shared" ca="1" si="0"/>
        <v>289.2</v>
      </c>
    </row>
    <row r="13" spans="1:4">
      <c r="A13">
        <f t="shared" ca="1" si="0"/>
        <v>308.05</v>
      </c>
    </row>
    <row r="14" spans="1:4">
      <c r="A14">
        <f t="shared" ca="1" si="0"/>
        <v>280.42</v>
      </c>
    </row>
    <row r="15" spans="1:4">
      <c r="A15">
        <f t="shared" ca="1" si="0"/>
        <v>267.5</v>
      </c>
    </row>
    <row r="16" spans="1:4">
      <c r="A16">
        <f t="shared" ca="1" si="0"/>
        <v>323.91000000000003</v>
      </c>
    </row>
    <row r="17" spans="1:1">
      <c r="A17">
        <f t="shared" ca="1" si="0"/>
        <v>287.83</v>
      </c>
    </row>
    <row r="18" spans="1:1">
      <c r="A18">
        <f t="shared" ca="1" si="0"/>
        <v>301.57</v>
      </c>
    </row>
    <row r="19" spans="1:1">
      <c r="A19">
        <f t="shared" ca="1" si="0"/>
        <v>324.06</v>
      </c>
    </row>
    <row r="20" spans="1:1">
      <c r="A20">
        <f t="shared" ca="1" si="0"/>
        <v>273.82</v>
      </c>
    </row>
    <row r="21" spans="1:1">
      <c r="A21">
        <f t="shared" ca="1" si="0"/>
        <v>319.91000000000003</v>
      </c>
    </row>
    <row r="22" spans="1:1">
      <c r="A22">
        <f t="shared" ca="1" si="0"/>
        <v>290.19</v>
      </c>
    </row>
    <row r="23" spans="1:1">
      <c r="A23">
        <f t="shared" ca="1" si="0"/>
        <v>284.24</v>
      </c>
    </row>
    <row r="24" spans="1:1">
      <c r="A24">
        <f t="shared" ca="1" si="0"/>
        <v>243.72</v>
      </c>
    </row>
    <row r="25" spans="1:1">
      <c r="A25">
        <f t="shared" ca="1" si="0"/>
        <v>303.2</v>
      </c>
    </row>
    <row r="26" spans="1:1">
      <c r="A26">
        <f t="shared" ca="1" si="0"/>
        <v>326.82</v>
      </c>
    </row>
    <row r="27" spans="1:1">
      <c r="A27">
        <f t="shared" ca="1" si="0"/>
        <v>320.27</v>
      </c>
    </row>
    <row r="28" spans="1:1">
      <c r="A28">
        <f t="shared" ca="1" si="0"/>
        <v>306.51</v>
      </c>
    </row>
    <row r="29" spans="1:1">
      <c r="A29">
        <f t="shared" ca="1" si="0"/>
        <v>295.83999999999997</v>
      </c>
    </row>
    <row r="30" spans="1:1">
      <c r="A30">
        <f t="shared" ca="1" si="0"/>
        <v>274.81</v>
      </c>
    </row>
    <row r="31" spans="1:1">
      <c r="A31">
        <f t="shared" ca="1" si="0"/>
        <v>279.02999999999997</v>
      </c>
    </row>
    <row r="32" spans="1:1">
      <c r="A32">
        <f t="shared" ca="1" si="0"/>
        <v>296.12</v>
      </c>
    </row>
    <row r="33" spans="1:1">
      <c r="A33">
        <f t="shared" ca="1" si="0"/>
        <v>285.88</v>
      </c>
    </row>
    <row r="34" spans="1:1">
      <c r="A34">
        <f t="shared" ca="1" si="0"/>
        <v>296.58999999999997</v>
      </c>
    </row>
    <row r="35" spans="1:1">
      <c r="A35">
        <f t="shared" ca="1" si="0"/>
        <v>297.66000000000003</v>
      </c>
    </row>
    <row r="36" spans="1:1">
      <c r="A36">
        <f t="shared" ca="1" si="0"/>
        <v>288</v>
      </c>
    </row>
    <row r="37" spans="1:1">
      <c r="A37">
        <f t="shared" ca="1" si="0"/>
        <v>318.95</v>
      </c>
    </row>
    <row r="38" spans="1:1">
      <c r="A38">
        <f t="shared" ca="1" si="0"/>
        <v>282.66000000000003</v>
      </c>
    </row>
    <row r="39" spans="1:1">
      <c r="A39">
        <f t="shared" ca="1" si="0"/>
        <v>316.64</v>
      </c>
    </row>
    <row r="40" spans="1:1">
      <c r="A40">
        <f t="shared" ca="1" si="0"/>
        <v>281.85000000000002</v>
      </c>
    </row>
    <row r="41" spans="1:1">
      <c r="A41">
        <f t="shared" ca="1" si="0"/>
        <v>307.16000000000003</v>
      </c>
    </row>
    <row r="42" spans="1:1">
      <c r="A42">
        <f t="shared" ca="1" si="0"/>
        <v>271.35000000000002</v>
      </c>
    </row>
    <row r="43" spans="1:1">
      <c r="A43">
        <f t="shared" ca="1" si="0"/>
        <v>289.69</v>
      </c>
    </row>
    <row r="44" spans="1:1">
      <c r="A44">
        <f t="shared" ca="1" si="0"/>
        <v>326.31</v>
      </c>
    </row>
    <row r="45" spans="1:1">
      <c r="A45">
        <f t="shared" ca="1" si="0"/>
        <v>302.45</v>
      </c>
    </row>
    <row r="46" spans="1:1">
      <c r="A46">
        <f t="shared" ca="1" si="0"/>
        <v>292.24</v>
      </c>
    </row>
    <row r="47" spans="1:1">
      <c r="A47">
        <f t="shared" ca="1" si="0"/>
        <v>298.22000000000003</v>
      </c>
    </row>
    <row r="48" spans="1:1">
      <c r="A48">
        <f t="shared" ca="1" si="0"/>
        <v>282.76</v>
      </c>
    </row>
    <row r="49" spans="1:1">
      <c r="A49">
        <f t="shared" ca="1" si="0"/>
        <v>284.01</v>
      </c>
    </row>
    <row r="50" spans="1:1">
      <c r="A50">
        <f t="shared" ca="1" si="0"/>
        <v>316.04000000000002</v>
      </c>
    </row>
    <row r="51" spans="1:1">
      <c r="A51">
        <f t="shared" ca="1" si="0"/>
        <v>260.27999999999997</v>
      </c>
    </row>
    <row r="52" spans="1:1">
      <c r="A52">
        <f t="shared" ca="1" si="0"/>
        <v>329.79</v>
      </c>
    </row>
    <row r="53" spans="1:1">
      <c r="A53">
        <f t="shared" ca="1" si="0"/>
        <v>291.18</v>
      </c>
    </row>
    <row r="54" spans="1:1">
      <c r="A54">
        <f t="shared" ca="1" si="0"/>
        <v>291.44</v>
      </c>
    </row>
    <row r="55" spans="1:1">
      <c r="A55">
        <f t="shared" ca="1" si="0"/>
        <v>301.04000000000002</v>
      </c>
    </row>
    <row r="56" spans="1:1">
      <c r="A56">
        <f t="shared" ca="1" si="0"/>
        <v>307.24</v>
      </c>
    </row>
    <row r="57" spans="1:1">
      <c r="A57">
        <f t="shared" ca="1" si="0"/>
        <v>253.67</v>
      </c>
    </row>
    <row r="58" spans="1:1">
      <c r="A58">
        <f t="shared" ca="1" si="0"/>
        <v>324.91000000000003</v>
      </c>
    </row>
    <row r="59" spans="1:1">
      <c r="A59">
        <f t="shared" ca="1" si="0"/>
        <v>316.94</v>
      </c>
    </row>
    <row r="60" spans="1:1">
      <c r="A60">
        <f t="shared" ca="1" si="0"/>
        <v>297.14</v>
      </c>
    </row>
    <row r="61" spans="1:1">
      <c r="A61">
        <f t="shared" ca="1" si="0"/>
        <v>300.64</v>
      </c>
    </row>
    <row r="62" spans="1:1">
      <c r="A62">
        <f t="shared" ca="1" si="0"/>
        <v>324.22000000000003</v>
      </c>
    </row>
    <row r="63" spans="1:1">
      <c r="A63">
        <f t="shared" ca="1" si="0"/>
        <v>353.7</v>
      </c>
    </row>
    <row r="64" spans="1:1">
      <c r="A64">
        <f t="shared" ca="1" si="0"/>
        <v>317.01</v>
      </c>
    </row>
    <row r="65" spans="1:1">
      <c r="A65">
        <f t="shared" ca="1" si="0"/>
        <v>305.24</v>
      </c>
    </row>
    <row r="66" spans="1:1">
      <c r="A66">
        <f t="shared" ref="A66:A129" ca="1" si="1">ROUND(_xlfn.NORM.INV(RAND(),300,20),2)</f>
        <v>301.54000000000002</v>
      </c>
    </row>
    <row r="67" spans="1:1">
      <c r="A67">
        <f t="shared" ca="1" si="1"/>
        <v>312.97000000000003</v>
      </c>
    </row>
    <row r="68" spans="1:1">
      <c r="A68">
        <f t="shared" ca="1" si="1"/>
        <v>327.06</v>
      </c>
    </row>
    <row r="69" spans="1:1">
      <c r="A69">
        <f t="shared" ca="1" si="1"/>
        <v>341.05</v>
      </c>
    </row>
    <row r="70" spans="1:1">
      <c r="A70">
        <f t="shared" ca="1" si="1"/>
        <v>291.83999999999997</v>
      </c>
    </row>
    <row r="71" spans="1:1">
      <c r="A71">
        <f t="shared" ca="1" si="1"/>
        <v>310.56</v>
      </c>
    </row>
    <row r="72" spans="1:1">
      <c r="A72">
        <f t="shared" ca="1" si="1"/>
        <v>309.82</v>
      </c>
    </row>
    <row r="73" spans="1:1">
      <c r="A73">
        <f t="shared" ca="1" si="1"/>
        <v>296.45</v>
      </c>
    </row>
    <row r="74" spans="1:1">
      <c r="A74">
        <f t="shared" ca="1" si="1"/>
        <v>278.08999999999997</v>
      </c>
    </row>
    <row r="75" spans="1:1">
      <c r="A75">
        <f t="shared" ca="1" si="1"/>
        <v>309.37</v>
      </c>
    </row>
    <row r="76" spans="1:1">
      <c r="A76">
        <f t="shared" ca="1" si="1"/>
        <v>272.58</v>
      </c>
    </row>
    <row r="77" spans="1:1">
      <c r="A77">
        <f t="shared" ca="1" si="1"/>
        <v>321.07</v>
      </c>
    </row>
    <row r="78" spans="1:1">
      <c r="A78">
        <f t="shared" ca="1" si="1"/>
        <v>316.35000000000002</v>
      </c>
    </row>
    <row r="79" spans="1:1">
      <c r="A79">
        <f t="shared" ca="1" si="1"/>
        <v>335.45</v>
      </c>
    </row>
    <row r="80" spans="1:1">
      <c r="A80">
        <f t="shared" ca="1" si="1"/>
        <v>318.83999999999997</v>
      </c>
    </row>
    <row r="81" spans="1:1">
      <c r="A81">
        <f t="shared" ca="1" si="1"/>
        <v>305.19</v>
      </c>
    </row>
    <row r="82" spans="1:1">
      <c r="A82">
        <f t="shared" ca="1" si="1"/>
        <v>335.74</v>
      </c>
    </row>
    <row r="83" spans="1:1">
      <c r="A83">
        <f t="shared" ca="1" si="1"/>
        <v>308.95999999999998</v>
      </c>
    </row>
    <row r="84" spans="1:1">
      <c r="A84">
        <f t="shared" ca="1" si="1"/>
        <v>278.27999999999997</v>
      </c>
    </row>
    <row r="85" spans="1:1">
      <c r="A85">
        <f t="shared" ca="1" si="1"/>
        <v>301.63</v>
      </c>
    </row>
    <row r="86" spans="1:1">
      <c r="A86">
        <f t="shared" ca="1" si="1"/>
        <v>302.63</v>
      </c>
    </row>
    <row r="87" spans="1:1">
      <c r="A87">
        <f t="shared" ca="1" si="1"/>
        <v>311.89</v>
      </c>
    </row>
    <row r="88" spans="1:1">
      <c r="A88">
        <f t="shared" ca="1" si="1"/>
        <v>352.68</v>
      </c>
    </row>
    <row r="89" spans="1:1">
      <c r="A89">
        <f t="shared" ca="1" si="1"/>
        <v>297.14</v>
      </c>
    </row>
    <row r="90" spans="1:1">
      <c r="A90">
        <f t="shared" ca="1" si="1"/>
        <v>327.06</v>
      </c>
    </row>
    <row r="91" spans="1:1">
      <c r="A91">
        <f t="shared" ca="1" si="1"/>
        <v>300.48</v>
      </c>
    </row>
    <row r="92" spans="1:1">
      <c r="A92">
        <f t="shared" ca="1" si="1"/>
        <v>330.84</v>
      </c>
    </row>
    <row r="93" spans="1:1">
      <c r="A93">
        <f t="shared" ca="1" si="1"/>
        <v>278.27</v>
      </c>
    </row>
    <row r="94" spans="1:1">
      <c r="A94">
        <f t="shared" ca="1" si="1"/>
        <v>296.72000000000003</v>
      </c>
    </row>
    <row r="95" spans="1:1">
      <c r="A95">
        <f t="shared" ca="1" si="1"/>
        <v>283.39999999999998</v>
      </c>
    </row>
    <row r="96" spans="1:1">
      <c r="A96">
        <f t="shared" ca="1" si="1"/>
        <v>293.76</v>
      </c>
    </row>
    <row r="97" spans="1:1">
      <c r="A97">
        <f t="shared" ca="1" si="1"/>
        <v>278.05</v>
      </c>
    </row>
    <row r="98" spans="1:1">
      <c r="A98">
        <f t="shared" ca="1" si="1"/>
        <v>308.41000000000003</v>
      </c>
    </row>
    <row r="99" spans="1:1">
      <c r="A99">
        <f t="shared" ca="1" si="1"/>
        <v>307.54000000000002</v>
      </c>
    </row>
    <row r="100" spans="1:1">
      <c r="A100">
        <f t="shared" ca="1" si="1"/>
        <v>312.93</v>
      </c>
    </row>
    <row r="101" spans="1:1">
      <c r="A101">
        <f t="shared" ca="1" si="1"/>
        <v>301.81</v>
      </c>
    </row>
    <row r="102" spans="1:1">
      <c r="A102">
        <f t="shared" ca="1" si="1"/>
        <v>322.48</v>
      </c>
    </row>
    <row r="103" spans="1:1">
      <c r="A103">
        <f t="shared" ca="1" si="1"/>
        <v>250.95</v>
      </c>
    </row>
    <row r="104" spans="1:1">
      <c r="A104">
        <f t="shared" ca="1" si="1"/>
        <v>284.69</v>
      </c>
    </row>
    <row r="105" spans="1:1">
      <c r="A105">
        <f t="shared" ca="1" si="1"/>
        <v>310.89</v>
      </c>
    </row>
    <row r="106" spans="1:1">
      <c r="A106">
        <f t="shared" ca="1" si="1"/>
        <v>278.17</v>
      </c>
    </row>
    <row r="107" spans="1:1">
      <c r="A107">
        <f t="shared" ca="1" si="1"/>
        <v>331.47</v>
      </c>
    </row>
    <row r="108" spans="1:1">
      <c r="A108">
        <f t="shared" ca="1" si="1"/>
        <v>272.60000000000002</v>
      </c>
    </row>
    <row r="109" spans="1:1">
      <c r="A109">
        <f t="shared" ca="1" si="1"/>
        <v>320.91000000000003</v>
      </c>
    </row>
    <row r="110" spans="1:1">
      <c r="A110">
        <f t="shared" ca="1" si="1"/>
        <v>309.27</v>
      </c>
    </row>
    <row r="111" spans="1:1">
      <c r="A111">
        <f t="shared" ca="1" si="1"/>
        <v>288.83999999999997</v>
      </c>
    </row>
    <row r="112" spans="1:1">
      <c r="A112">
        <f t="shared" ca="1" si="1"/>
        <v>287.38</v>
      </c>
    </row>
    <row r="113" spans="1:1">
      <c r="A113">
        <f t="shared" ca="1" si="1"/>
        <v>312.43</v>
      </c>
    </row>
    <row r="114" spans="1:1">
      <c r="A114">
        <f t="shared" ca="1" si="1"/>
        <v>332.36</v>
      </c>
    </row>
    <row r="115" spans="1:1">
      <c r="A115">
        <f t="shared" ca="1" si="1"/>
        <v>295.39</v>
      </c>
    </row>
    <row r="116" spans="1:1">
      <c r="A116">
        <f t="shared" ca="1" si="1"/>
        <v>301.39</v>
      </c>
    </row>
    <row r="117" spans="1:1">
      <c r="A117">
        <f t="shared" ca="1" si="1"/>
        <v>277.95</v>
      </c>
    </row>
    <row r="118" spans="1:1">
      <c r="A118">
        <f t="shared" ca="1" si="1"/>
        <v>302.24</v>
      </c>
    </row>
    <row r="119" spans="1:1">
      <c r="A119">
        <f t="shared" ca="1" si="1"/>
        <v>324.27999999999997</v>
      </c>
    </row>
    <row r="120" spans="1:1">
      <c r="A120">
        <f t="shared" ca="1" si="1"/>
        <v>304.52999999999997</v>
      </c>
    </row>
    <row r="121" spans="1:1">
      <c r="A121">
        <f t="shared" ca="1" si="1"/>
        <v>323.89</v>
      </c>
    </row>
    <row r="122" spans="1:1">
      <c r="A122">
        <f t="shared" ca="1" si="1"/>
        <v>324.99</v>
      </c>
    </row>
    <row r="123" spans="1:1">
      <c r="A123">
        <f t="shared" ca="1" si="1"/>
        <v>330.98</v>
      </c>
    </row>
    <row r="124" spans="1:1">
      <c r="A124">
        <f t="shared" ca="1" si="1"/>
        <v>284.39</v>
      </c>
    </row>
    <row r="125" spans="1:1">
      <c r="A125">
        <f t="shared" ca="1" si="1"/>
        <v>258.63</v>
      </c>
    </row>
    <row r="126" spans="1:1">
      <c r="A126">
        <f t="shared" ca="1" si="1"/>
        <v>272.5</v>
      </c>
    </row>
    <row r="127" spans="1:1">
      <c r="A127">
        <f t="shared" ca="1" si="1"/>
        <v>277.04000000000002</v>
      </c>
    </row>
    <row r="128" spans="1:1">
      <c r="A128">
        <f t="shared" ca="1" si="1"/>
        <v>303.81</v>
      </c>
    </row>
    <row r="129" spans="1:1">
      <c r="A129">
        <f t="shared" ca="1" si="1"/>
        <v>322.75</v>
      </c>
    </row>
    <row r="130" spans="1:1">
      <c r="A130">
        <f t="shared" ref="A130:A193" ca="1" si="2">ROUND(_xlfn.NORM.INV(RAND(),300,20),2)</f>
        <v>295.77</v>
      </c>
    </row>
    <row r="131" spans="1:1">
      <c r="A131">
        <f t="shared" ca="1" si="2"/>
        <v>313.14999999999998</v>
      </c>
    </row>
    <row r="132" spans="1:1">
      <c r="A132">
        <f t="shared" ca="1" si="2"/>
        <v>281.56</v>
      </c>
    </row>
    <row r="133" spans="1:1">
      <c r="A133">
        <f t="shared" ca="1" si="2"/>
        <v>291.49</v>
      </c>
    </row>
    <row r="134" spans="1:1">
      <c r="A134">
        <f t="shared" ca="1" si="2"/>
        <v>308.83999999999997</v>
      </c>
    </row>
    <row r="135" spans="1:1">
      <c r="A135">
        <f t="shared" ca="1" si="2"/>
        <v>291.67</v>
      </c>
    </row>
    <row r="136" spans="1:1">
      <c r="A136">
        <f t="shared" ca="1" si="2"/>
        <v>308.22000000000003</v>
      </c>
    </row>
    <row r="137" spans="1:1">
      <c r="A137">
        <f t="shared" ca="1" si="2"/>
        <v>317.7</v>
      </c>
    </row>
    <row r="138" spans="1:1">
      <c r="A138">
        <f t="shared" ca="1" si="2"/>
        <v>307.93</v>
      </c>
    </row>
    <row r="139" spans="1:1">
      <c r="A139">
        <f t="shared" ca="1" si="2"/>
        <v>322.26</v>
      </c>
    </row>
    <row r="140" spans="1:1">
      <c r="A140">
        <f t="shared" ca="1" si="2"/>
        <v>301.35000000000002</v>
      </c>
    </row>
    <row r="141" spans="1:1">
      <c r="A141">
        <f t="shared" ca="1" si="2"/>
        <v>337.93</v>
      </c>
    </row>
    <row r="142" spans="1:1">
      <c r="A142">
        <f t="shared" ca="1" si="2"/>
        <v>326.27999999999997</v>
      </c>
    </row>
    <row r="143" spans="1:1">
      <c r="A143">
        <f t="shared" ca="1" si="2"/>
        <v>290.20999999999998</v>
      </c>
    </row>
    <row r="144" spans="1:1">
      <c r="A144">
        <f t="shared" ca="1" si="2"/>
        <v>292.48</v>
      </c>
    </row>
    <row r="145" spans="1:1">
      <c r="A145">
        <f t="shared" ca="1" si="2"/>
        <v>310.57</v>
      </c>
    </row>
    <row r="146" spans="1:1">
      <c r="A146">
        <f t="shared" ca="1" si="2"/>
        <v>295.52999999999997</v>
      </c>
    </row>
    <row r="147" spans="1:1">
      <c r="A147">
        <f t="shared" ca="1" si="2"/>
        <v>277.05</v>
      </c>
    </row>
    <row r="148" spans="1:1">
      <c r="A148">
        <f t="shared" ca="1" si="2"/>
        <v>345.89</v>
      </c>
    </row>
    <row r="149" spans="1:1">
      <c r="A149">
        <f t="shared" ca="1" si="2"/>
        <v>305.5</v>
      </c>
    </row>
    <row r="150" spans="1:1">
      <c r="A150">
        <f t="shared" ca="1" si="2"/>
        <v>306.95999999999998</v>
      </c>
    </row>
    <row r="151" spans="1:1">
      <c r="A151">
        <f t="shared" ca="1" si="2"/>
        <v>291.27</v>
      </c>
    </row>
    <row r="152" spans="1:1">
      <c r="A152">
        <f t="shared" ca="1" si="2"/>
        <v>271.82</v>
      </c>
    </row>
    <row r="153" spans="1:1">
      <c r="A153">
        <f t="shared" ca="1" si="2"/>
        <v>338.24</v>
      </c>
    </row>
    <row r="154" spans="1:1">
      <c r="A154">
        <f t="shared" ca="1" si="2"/>
        <v>315.02999999999997</v>
      </c>
    </row>
    <row r="155" spans="1:1">
      <c r="A155">
        <f t="shared" ca="1" si="2"/>
        <v>310.35000000000002</v>
      </c>
    </row>
    <row r="156" spans="1:1">
      <c r="A156">
        <f t="shared" ca="1" si="2"/>
        <v>288.02</v>
      </c>
    </row>
    <row r="157" spans="1:1">
      <c r="A157">
        <f t="shared" ca="1" si="2"/>
        <v>304.73</v>
      </c>
    </row>
    <row r="158" spans="1:1">
      <c r="A158">
        <f t="shared" ca="1" si="2"/>
        <v>320.88</v>
      </c>
    </row>
    <row r="159" spans="1:1">
      <c r="A159">
        <f t="shared" ca="1" si="2"/>
        <v>290.83</v>
      </c>
    </row>
    <row r="160" spans="1:1">
      <c r="A160">
        <f t="shared" ca="1" si="2"/>
        <v>303.86</v>
      </c>
    </row>
    <row r="161" spans="1:1">
      <c r="A161">
        <f t="shared" ca="1" si="2"/>
        <v>305.27</v>
      </c>
    </row>
    <row r="162" spans="1:1">
      <c r="A162">
        <f t="shared" ca="1" si="2"/>
        <v>338.97</v>
      </c>
    </row>
    <row r="163" spans="1:1">
      <c r="A163">
        <f t="shared" ca="1" si="2"/>
        <v>309.64999999999998</v>
      </c>
    </row>
    <row r="164" spans="1:1">
      <c r="A164">
        <f t="shared" ca="1" si="2"/>
        <v>312.47000000000003</v>
      </c>
    </row>
    <row r="165" spans="1:1">
      <c r="A165">
        <f t="shared" ca="1" si="2"/>
        <v>311.95999999999998</v>
      </c>
    </row>
    <row r="166" spans="1:1">
      <c r="A166">
        <f t="shared" ca="1" si="2"/>
        <v>288.06</v>
      </c>
    </row>
    <row r="167" spans="1:1">
      <c r="A167">
        <f t="shared" ca="1" si="2"/>
        <v>269.18</v>
      </c>
    </row>
    <row r="168" spans="1:1">
      <c r="A168">
        <f t="shared" ca="1" si="2"/>
        <v>290.69</v>
      </c>
    </row>
    <row r="169" spans="1:1">
      <c r="A169">
        <f t="shared" ca="1" si="2"/>
        <v>299.89</v>
      </c>
    </row>
    <row r="170" spans="1:1">
      <c r="A170">
        <f t="shared" ca="1" si="2"/>
        <v>293.82</v>
      </c>
    </row>
    <row r="171" spans="1:1">
      <c r="A171">
        <f t="shared" ca="1" si="2"/>
        <v>302.77</v>
      </c>
    </row>
    <row r="172" spans="1:1">
      <c r="A172">
        <f t="shared" ca="1" si="2"/>
        <v>280.22000000000003</v>
      </c>
    </row>
    <row r="173" spans="1:1">
      <c r="A173">
        <f t="shared" ca="1" si="2"/>
        <v>273.73</v>
      </c>
    </row>
    <row r="174" spans="1:1">
      <c r="A174">
        <f t="shared" ca="1" si="2"/>
        <v>308.49</v>
      </c>
    </row>
    <row r="175" spans="1:1">
      <c r="A175">
        <f t="shared" ca="1" si="2"/>
        <v>263.27</v>
      </c>
    </row>
    <row r="176" spans="1:1">
      <c r="A176">
        <f t="shared" ca="1" si="2"/>
        <v>305.77999999999997</v>
      </c>
    </row>
    <row r="177" spans="1:1">
      <c r="A177">
        <f t="shared" ca="1" si="2"/>
        <v>294.39999999999998</v>
      </c>
    </row>
    <row r="178" spans="1:1">
      <c r="A178">
        <f t="shared" ca="1" si="2"/>
        <v>308.12</v>
      </c>
    </row>
    <row r="179" spans="1:1">
      <c r="A179">
        <f t="shared" ca="1" si="2"/>
        <v>301.83999999999997</v>
      </c>
    </row>
    <row r="180" spans="1:1">
      <c r="A180">
        <f t="shared" ca="1" si="2"/>
        <v>310.11</v>
      </c>
    </row>
    <row r="181" spans="1:1">
      <c r="A181">
        <f t="shared" ca="1" si="2"/>
        <v>309.79000000000002</v>
      </c>
    </row>
    <row r="182" spans="1:1">
      <c r="A182">
        <f t="shared" ca="1" si="2"/>
        <v>275.52999999999997</v>
      </c>
    </row>
    <row r="183" spans="1:1">
      <c r="A183">
        <f t="shared" ca="1" si="2"/>
        <v>324.27</v>
      </c>
    </row>
    <row r="184" spans="1:1">
      <c r="A184">
        <f t="shared" ca="1" si="2"/>
        <v>303.8</v>
      </c>
    </row>
    <row r="185" spans="1:1">
      <c r="A185">
        <f t="shared" ca="1" si="2"/>
        <v>287.24</v>
      </c>
    </row>
    <row r="186" spans="1:1">
      <c r="A186">
        <f t="shared" ca="1" si="2"/>
        <v>282.60000000000002</v>
      </c>
    </row>
    <row r="187" spans="1:1">
      <c r="A187">
        <f t="shared" ca="1" si="2"/>
        <v>285.32</v>
      </c>
    </row>
    <row r="188" spans="1:1">
      <c r="A188">
        <f t="shared" ca="1" si="2"/>
        <v>306.07</v>
      </c>
    </row>
    <row r="189" spans="1:1">
      <c r="A189">
        <f t="shared" ca="1" si="2"/>
        <v>302.43</v>
      </c>
    </row>
    <row r="190" spans="1:1">
      <c r="A190">
        <f t="shared" ca="1" si="2"/>
        <v>306.43</v>
      </c>
    </row>
    <row r="191" spans="1:1">
      <c r="A191">
        <f t="shared" ca="1" si="2"/>
        <v>323.8</v>
      </c>
    </row>
    <row r="192" spans="1:1">
      <c r="A192">
        <f t="shared" ca="1" si="2"/>
        <v>273.19</v>
      </c>
    </row>
    <row r="193" spans="1:1">
      <c r="A193">
        <f t="shared" ca="1" si="2"/>
        <v>292.52999999999997</v>
      </c>
    </row>
    <row r="194" spans="1:1">
      <c r="A194">
        <f t="shared" ref="A194:A257" ca="1" si="3">ROUND(_xlfn.NORM.INV(RAND(),300,20),2)</f>
        <v>280.42</v>
      </c>
    </row>
    <row r="195" spans="1:1">
      <c r="A195">
        <f t="shared" ca="1" si="3"/>
        <v>301.85000000000002</v>
      </c>
    </row>
    <row r="196" spans="1:1">
      <c r="A196">
        <f t="shared" ca="1" si="3"/>
        <v>314.02999999999997</v>
      </c>
    </row>
    <row r="197" spans="1:1">
      <c r="A197">
        <f t="shared" ca="1" si="3"/>
        <v>294.08999999999997</v>
      </c>
    </row>
    <row r="198" spans="1:1">
      <c r="A198">
        <f t="shared" ca="1" si="3"/>
        <v>281.86</v>
      </c>
    </row>
    <row r="199" spans="1:1">
      <c r="A199">
        <f t="shared" ca="1" si="3"/>
        <v>302.58</v>
      </c>
    </row>
    <row r="200" spans="1:1">
      <c r="A200">
        <f t="shared" ca="1" si="3"/>
        <v>319.36</v>
      </c>
    </row>
    <row r="201" spans="1:1">
      <c r="A201">
        <f t="shared" ca="1" si="3"/>
        <v>273.04000000000002</v>
      </c>
    </row>
    <row r="202" spans="1:1">
      <c r="A202">
        <f t="shared" ca="1" si="3"/>
        <v>290.72000000000003</v>
      </c>
    </row>
    <row r="203" spans="1:1">
      <c r="A203">
        <f t="shared" ca="1" si="3"/>
        <v>306.92</v>
      </c>
    </row>
    <row r="204" spans="1:1">
      <c r="A204">
        <f t="shared" ca="1" si="3"/>
        <v>272.98</v>
      </c>
    </row>
    <row r="205" spans="1:1">
      <c r="A205">
        <f t="shared" ca="1" si="3"/>
        <v>295.60000000000002</v>
      </c>
    </row>
    <row r="206" spans="1:1">
      <c r="A206">
        <f t="shared" ca="1" si="3"/>
        <v>326.69</v>
      </c>
    </row>
    <row r="207" spans="1:1">
      <c r="A207">
        <f t="shared" ca="1" si="3"/>
        <v>324.02999999999997</v>
      </c>
    </row>
    <row r="208" spans="1:1">
      <c r="A208">
        <f t="shared" ca="1" si="3"/>
        <v>291.48</v>
      </c>
    </row>
    <row r="209" spans="1:1">
      <c r="A209">
        <f t="shared" ca="1" si="3"/>
        <v>318.64</v>
      </c>
    </row>
    <row r="210" spans="1:1">
      <c r="A210">
        <f t="shared" ca="1" si="3"/>
        <v>300.14999999999998</v>
      </c>
    </row>
    <row r="211" spans="1:1">
      <c r="A211">
        <f t="shared" ca="1" si="3"/>
        <v>299.66000000000003</v>
      </c>
    </row>
    <row r="212" spans="1:1">
      <c r="A212">
        <f t="shared" ca="1" si="3"/>
        <v>281.44</v>
      </c>
    </row>
    <row r="213" spans="1:1">
      <c r="A213">
        <f t="shared" ca="1" si="3"/>
        <v>270.7</v>
      </c>
    </row>
    <row r="214" spans="1:1">
      <c r="A214">
        <f t="shared" ca="1" si="3"/>
        <v>305.44</v>
      </c>
    </row>
    <row r="215" spans="1:1">
      <c r="A215">
        <f t="shared" ca="1" si="3"/>
        <v>293.16000000000003</v>
      </c>
    </row>
    <row r="216" spans="1:1">
      <c r="A216">
        <f t="shared" ca="1" si="3"/>
        <v>307.55</v>
      </c>
    </row>
    <row r="217" spans="1:1">
      <c r="A217">
        <f t="shared" ca="1" si="3"/>
        <v>296.14999999999998</v>
      </c>
    </row>
    <row r="218" spans="1:1">
      <c r="A218">
        <f t="shared" ca="1" si="3"/>
        <v>303.33</v>
      </c>
    </row>
    <row r="219" spans="1:1">
      <c r="A219">
        <f t="shared" ca="1" si="3"/>
        <v>301.81</v>
      </c>
    </row>
    <row r="220" spans="1:1">
      <c r="A220">
        <f t="shared" ca="1" si="3"/>
        <v>239.77</v>
      </c>
    </row>
    <row r="221" spans="1:1">
      <c r="A221">
        <f t="shared" ca="1" si="3"/>
        <v>299.56</v>
      </c>
    </row>
    <row r="222" spans="1:1">
      <c r="A222">
        <f t="shared" ca="1" si="3"/>
        <v>315.44</v>
      </c>
    </row>
    <row r="223" spans="1:1">
      <c r="A223">
        <f t="shared" ca="1" si="3"/>
        <v>304.18</v>
      </c>
    </row>
    <row r="224" spans="1:1">
      <c r="A224">
        <f t="shared" ca="1" si="3"/>
        <v>300.64999999999998</v>
      </c>
    </row>
    <row r="225" spans="1:1">
      <c r="A225">
        <f t="shared" ca="1" si="3"/>
        <v>306.24</v>
      </c>
    </row>
    <row r="226" spans="1:1">
      <c r="A226">
        <f t="shared" ca="1" si="3"/>
        <v>292.05</v>
      </c>
    </row>
    <row r="227" spans="1:1">
      <c r="A227">
        <f t="shared" ca="1" si="3"/>
        <v>282.99</v>
      </c>
    </row>
    <row r="228" spans="1:1">
      <c r="A228">
        <f t="shared" ca="1" si="3"/>
        <v>253.78</v>
      </c>
    </row>
    <row r="229" spans="1:1">
      <c r="A229">
        <f t="shared" ca="1" si="3"/>
        <v>270.06</v>
      </c>
    </row>
    <row r="230" spans="1:1">
      <c r="A230">
        <f t="shared" ca="1" si="3"/>
        <v>308.72000000000003</v>
      </c>
    </row>
    <row r="231" spans="1:1">
      <c r="A231">
        <f t="shared" ca="1" si="3"/>
        <v>319.95</v>
      </c>
    </row>
    <row r="232" spans="1:1">
      <c r="A232">
        <f t="shared" ca="1" si="3"/>
        <v>315.23</v>
      </c>
    </row>
    <row r="233" spans="1:1">
      <c r="A233">
        <f t="shared" ca="1" si="3"/>
        <v>310.56</v>
      </c>
    </row>
    <row r="234" spans="1:1">
      <c r="A234">
        <f t="shared" ca="1" si="3"/>
        <v>290.89</v>
      </c>
    </row>
    <row r="235" spans="1:1">
      <c r="A235">
        <f t="shared" ca="1" si="3"/>
        <v>309.8</v>
      </c>
    </row>
    <row r="236" spans="1:1">
      <c r="A236">
        <f t="shared" ca="1" si="3"/>
        <v>271.64</v>
      </c>
    </row>
    <row r="237" spans="1:1">
      <c r="A237">
        <f t="shared" ca="1" si="3"/>
        <v>316.14</v>
      </c>
    </row>
    <row r="238" spans="1:1">
      <c r="A238">
        <f t="shared" ca="1" si="3"/>
        <v>281.49</v>
      </c>
    </row>
    <row r="239" spans="1:1">
      <c r="A239">
        <f t="shared" ca="1" si="3"/>
        <v>284.19</v>
      </c>
    </row>
    <row r="240" spans="1:1">
      <c r="A240">
        <f t="shared" ca="1" si="3"/>
        <v>308.51</v>
      </c>
    </row>
    <row r="241" spans="1:1">
      <c r="A241">
        <f t="shared" ca="1" si="3"/>
        <v>299.89999999999998</v>
      </c>
    </row>
    <row r="242" spans="1:1">
      <c r="A242">
        <f t="shared" ca="1" si="3"/>
        <v>280.47000000000003</v>
      </c>
    </row>
    <row r="243" spans="1:1">
      <c r="A243">
        <f t="shared" ca="1" si="3"/>
        <v>301.36</v>
      </c>
    </row>
    <row r="244" spans="1:1">
      <c r="A244">
        <f t="shared" ca="1" si="3"/>
        <v>260.86</v>
      </c>
    </row>
    <row r="245" spans="1:1">
      <c r="A245">
        <f t="shared" ca="1" si="3"/>
        <v>266.54000000000002</v>
      </c>
    </row>
    <row r="246" spans="1:1">
      <c r="A246">
        <f t="shared" ca="1" si="3"/>
        <v>278.73</v>
      </c>
    </row>
    <row r="247" spans="1:1">
      <c r="A247">
        <f t="shared" ca="1" si="3"/>
        <v>286.18</v>
      </c>
    </row>
    <row r="248" spans="1:1">
      <c r="A248">
        <f t="shared" ca="1" si="3"/>
        <v>299.07</v>
      </c>
    </row>
    <row r="249" spans="1:1">
      <c r="A249">
        <f t="shared" ca="1" si="3"/>
        <v>281.67</v>
      </c>
    </row>
    <row r="250" spans="1:1">
      <c r="A250">
        <f t="shared" ca="1" si="3"/>
        <v>333.55</v>
      </c>
    </row>
    <row r="251" spans="1:1">
      <c r="A251">
        <f t="shared" ca="1" si="3"/>
        <v>291.26</v>
      </c>
    </row>
    <row r="252" spans="1:1">
      <c r="A252">
        <f t="shared" ca="1" si="3"/>
        <v>340.95</v>
      </c>
    </row>
    <row r="253" spans="1:1">
      <c r="A253">
        <f t="shared" ca="1" si="3"/>
        <v>288.86</v>
      </c>
    </row>
    <row r="254" spans="1:1">
      <c r="A254">
        <f t="shared" ca="1" si="3"/>
        <v>285.89</v>
      </c>
    </row>
    <row r="255" spans="1:1">
      <c r="A255">
        <f t="shared" ca="1" si="3"/>
        <v>345.81</v>
      </c>
    </row>
    <row r="256" spans="1:1">
      <c r="A256">
        <f t="shared" ca="1" si="3"/>
        <v>296.27</v>
      </c>
    </row>
    <row r="257" spans="1:1">
      <c r="A257">
        <f t="shared" ca="1" si="3"/>
        <v>294.57</v>
      </c>
    </row>
    <row r="258" spans="1:1">
      <c r="A258">
        <f t="shared" ref="A258:A321" ca="1" si="4">ROUND(_xlfn.NORM.INV(RAND(),300,20),2)</f>
        <v>300.81</v>
      </c>
    </row>
    <row r="259" spans="1:1">
      <c r="A259">
        <f t="shared" ca="1" si="4"/>
        <v>322.87</v>
      </c>
    </row>
    <row r="260" spans="1:1">
      <c r="A260">
        <f t="shared" ca="1" si="4"/>
        <v>307.18</v>
      </c>
    </row>
    <row r="261" spans="1:1">
      <c r="A261">
        <f t="shared" ca="1" si="4"/>
        <v>324.2</v>
      </c>
    </row>
    <row r="262" spans="1:1">
      <c r="A262">
        <f t="shared" ca="1" si="4"/>
        <v>285.17</v>
      </c>
    </row>
    <row r="263" spans="1:1">
      <c r="A263">
        <f t="shared" ca="1" si="4"/>
        <v>293.19</v>
      </c>
    </row>
    <row r="264" spans="1:1">
      <c r="A264">
        <f t="shared" ca="1" si="4"/>
        <v>292.89999999999998</v>
      </c>
    </row>
    <row r="265" spans="1:1">
      <c r="A265">
        <f t="shared" ca="1" si="4"/>
        <v>289.95</v>
      </c>
    </row>
    <row r="266" spans="1:1">
      <c r="A266">
        <f t="shared" ca="1" si="4"/>
        <v>290.93</v>
      </c>
    </row>
    <row r="267" spans="1:1">
      <c r="A267">
        <f t="shared" ca="1" si="4"/>
        <v>306.85000000000002</v>
      </c>
    </row>
    <row r="268" spans="1:1">
      <c r="A268">
        <f t="shared" ca="1" si="4"/>
        <v>318.02999999999997</v>
      </c>
    </row>
    <row r="269" spans="1:1">
      <c r="A269">
        <f t="shared" ca="1" si="4"/>
        <v>311.08999999999997</v>
      </c>
    </row>
    <row r="270" spans="1:1">
      <c r="A270">
        <f t="shared" ca="1" si="4"/>
        <v>257.81</v>
      </c>
    </row>
    <row r="271" spans="1:1">
      <c r="A271">
        <f t="shared" ca="1" si="4"/>
        <v>276.02999999999997</v>
      </c>
    </row>
    <row r="272" spans="1:1">
      <c r="A272">
        <f t="shared" ca="1" si="4"/>
        <v>314.02999999999997</v>
      </c>
    </row>
    <row r="273" spans="1:1">
      <c r="A273">
        <f t="shared" ca="1" si="4"/>
        <v>323.26</v>
      </c>
    </row>
    <row r="274" spans="1:1">
      <c r="A274">
        <f t="shared" ca="1" si="4"/>
        <v>278.42</v>
      </c>
    </row>
    <row r="275" spans="1:1">
      <c r="A275">
        <f t="shared" ca="1" si="4"/>
        <v>318.56</v>
      </c>
    </row>
    <row r="276" spans="1:1">
      <c r="A276">
        <f t="shared" ca="1" si="4"/>
        <v>290.41000000000003</v>
      </c>
    </row>
    <row r="277" spans="1:1">
      <c r="A277">
        <f t="shared" ca="1" si="4"/>
        <v>295.02</v>
      </c>
    </row>
    <row r="278" spans="1:1">
      <c r="A278">
        <f t="shared" ca="1" si="4"/>
        <v>293.63</v>
      </c>
    </row>
    <row r="279" spans="1:1">
      <c r="A279">
        <f t="shared" ca="1" si="4"/>
        <v>293.61</v>
      </c>
    </row>
    <row r="280" spans="1:1">
      <c r="A280">
        <f t="shared" ca="1" si="4"/>
        <v>314.51</v>
      </c>
    </row>
    <row r="281" spans="1:1">
      <c r="A281">
        <f t="shared" ca="1" si="4"/>
        <v>295.85000000000002</v>
      </c>
    </row>
    <row r="282" spans="1:1">
      <c r="A282">
        <f t="shared" ca="1" si="4"/>
        <v>293.74</v>
      </c>
    </row>
    <row r="283" spans="1:1">
      <c r="A283">
        <f t="shared" ca="1" si="4"/>
        <v>332.64</v>
      </c>
    </row>
    <row r="284" spans="1:1">
      <c r="A284">
        <f t="shared" ca="1" si="4"/>
        <v>331</v>
      </c>
    </row>
    <row r="285" spans="1:1">
      <c r="A285">
        <f t="shared" ca="1" si="4"/>
        <v>285.27</v>
      </c>
    </row>
    <row r="286" spans="1:1">
      <c r="A286">
        <f t="shared" ca="1" si="4"/>
        <v>327.93</v>
      </c>
    </row>
    <row r="287" spans="1:1">
      <c r="A287">
        <f t="shared" ca="1" si="4"/>
        <v>278.47000000000003</v>
      </c>
    </row>
    <row r="288" spans="1:1">
      <c r="A288">
        <f t="shared" ca="1" si="4"/>
        <v>279.16000000000003</v>
      </c>
    </row>
    <row r="289" spans="1:1">
      <c r="A289">
        <f t="shared" ca="1" si="4"/>
        <v>306.13</v>
      </c>
    </row>
    <row r="290" spans="1:1">
      <c r="A290">
        <f t="shared" ca="1" si="4"/>
        <v>256.45999999999998</v>
      </c>
    </row>
    <row r="291" spans="1:1">
      <c r="A291">
        <f t="shared" ca="1" si="4"/>
        <v>332.48</v>
      </c>
    </row>
    <row r="292" spans="1:1">
      <c r="A292">
        <f t="shared" ca="1" si="4"/>
        <v>288.85000000000002</v>
      </c>
    </row>
    <row r="293" spans="1:1">
      <c r="A293">
        <f t="shared" ca="1" si="4"/>
        <v>300.39999999999998</v>
      </c>
    </row>
    <row r="294" spans="1:1">
      <c r="A294">
        <f t="shared" ca="1" si="4"/>
        <v>293.95999999999998</v>
      </c>
    </row>
    <row r="295" spans="1:1">
      <c r="A295">
        <f t="shared" ca="1" si="4"/>
        <v>311.25</v>
      </c>
    </row>
    <row r="296" spans="1:1">
      <c r="A296">
        <f t="shared" ca="1" si="4"/>
        <v>312.56</v>
      </c>
    </row>
    <row r="297" spans="1:1">
      <c r="A297">
        <f t="shared" ca="1" si="4"/>
        <v>272.52999999999997</v>
      </c>
    </row>
    <row r="298" spans="1:1">
      <c r="A298">
        <f t="shared" ca="1" si="4"/>
        <v>262.74</v>
      </c>
    </row>
    <row r="299" spans="1:1">
      <c r="A299">
        <f t="shared" ca="1" si="4"/>
        <v>298.36</v>
      </c>
    </row>
    <row r="300" spans="1:1">
      <c r="A300">
        <f t="shared" ca="1" si="4"/>
        <v>323.19</v>
      </c>
    </row>
    <row r="301" spans="1:1">
      <c r="A301">
        <f t="shared" ca="1" si="4"/>
        <v>265.58</v>
      </c>
    </row>
    <row r="302" spans="1:1">
      <c r="A302">
        <f t="shared" ca="1" si="4"/>
        <v>271.20999999999998</v>
      </c>
    </row>
    <row r="303" spans="1:1">
      <c r="A303">
        <f t="shared" ca="1" si="4"/>
        <v>298.86</v>
      </c>
    </row>
    <row r="304" spans="1:1">
      <c r="A304">
        <f t="shared" ca="1" si="4"/>
        <v>303.51</v>
      </c>
    </row>
    <row r="305" spans="1:1">
      <c r="A305">
        <f t="shared" ca="1" si="4"/>
        <v>295.25</v>
      </c>
    </row>
    <row r="306" spans="1:1">
      <c r="A306">
        <f t="shared" ca="1" si="4"/>
        <v>306.33</v>
      </c>
    </row>
    <row r="307" spans="1:1">
      <c r="A307">
        <f t="shared" ca="1" si="4"/>
        <v>309.48</v>
      </c>
    </row>
    <row r="308" spans="1:1">
      <c r="A308">
        <f t="shared" ca="1" si="4"/>
        <v>355.61</v>
      </c>
    </row>
    <row r="309" spans="1:1">
      <c r="A309">
        <f t="shared" ca="1" si="4"/>
        <v>287.86</v>
      </c>
    </row>
    <row r="310" spans="1:1">
      <c r="A310">
        <f t="shared" ca="1" si="4"/>
        <v>300.29000000000002</v>
      </c>
    </row>
    <row r="311" spans="1:1">
      <c r="A311">
        <f t="shared" ca="1" si="4"/>
        <v>313.27</v>
      </c>
    </row>
    <row r="312" spans="1:1">
      <c r="A312">
        <f t="shared" ca="1" si="4"/>
        <v>297.56</v>
      </c>
    </row>
    <row r="313" spans="1:1">
      <c r="A313">
        <f t="shared" ca="1" si="4"/>
        <v>294.33</v>
      </c>
    </row>
    <row r="314" spans="1:1">
      <c r="A314">
        <f t="shared" ca="1" si="4"/>
        <v>331.33</v>
      </c>
    </row>
    <row r="315" spans="1:1">
      <c r="A315">
        <f t="shared" ca="1" si="4"/>
        <v>262.52999999999997</v>
      </c>
    </row>
    <row r="316" spans="1:1">
      <c r="A316">
        <f t="shared" ca="1" si="4"/>
        <v>303.29000000000002</v>
      </c>
    </row>
    <row r="317" spans="1:1">
      <c r="A317">
        <f t="shared" ca="1" si="4"/>
        <v>312.33999999999997</v>
      </c>
    </row>
    <row r="318" spans="1:1">
      <c r="A318">
        <f t="shared" ca="1" si="4"/>
        <v>294.87</v>
      </c>
    </row>
    <row r="319" spans="1:1">
      <c r="A319">
        <f t="shared" ca="1" si="4"/>
        <v>348.23</v>
      </c>
    </row>
    <row r="320" spans="1:1">
      <c r="A320">
        <f t="shared" ca="1" si="4"/>
        <v>260</v>
      </c>
    </row>
    <row r="321" spans="1:1">
      <c r="A321">
        <f t="shared" ca="1" si="4"/>
        <v>312.38</v>
      </c>
    </row>
    <row r="322" spans="1:1">
      <c r="A322">
        <f t="shared" ref="A322:A341" ca="1" si="5">ROUND(_xlfn.NORM.INV(RAND(),300,20),2)</f>
        <v>308.62</v>
      </c>
    </row>
    <row r="323" spans="1:1">
      <c r="A323">
        <f t="shared" ca="1" si="5"/>
        <v>311.77999999999997</v>
      </c>
    </row>
    <row r="324" spans="1:1">
      <c r="A324">
        <f t="shared" ca="1" si="5"/>
        <v>310.64</v>
      </c>
    </row>
    <row r="325" spans="1:1">
      <c r="A325">
        <f t="shared" ca="1" si="5"/>
        <v>263.83</v>
      </c>
    </row>
    <row r="326" spans="1:1">
      <c r="A326">
        <f t="shared" ca="1" si="5"/>
        <v>281.42</v>
      </c>
    </row>
    <row r="327" spans="1:1">
      <c r="A327">
        <f t="shared" ca="1" si="5"/>
        <v>292.61</v>
      </c>
    </row>
    <row r="328" spans="1:1">
      <c r="A328">
        <f t="shared" ca="1" si="5"/>
        <v>285.47000000000003</v>
      </c>
    </row>
    <row r="329" spans="1:1">
      <c r="A329">
        <f t="shared" ca="1" si="5"/>
        <v>265.52</v>
      </c>
    </row>
    <row r="330" spans="1:1">
      <c r="A330">
        <f t="shared" ca="1" si="5"/>
        <v>297.39999999999998</v>
      </c>
    </row>
    <row r="331" spans="1:1">
      <c r="A331">
        <f t="shared" ca="1" si="5"/>
        <v>308.27999999999997</v>
      </c>
    </row>
    <row r="332" spans="1:1">
      <c r="A332">
        <f t="shared" ca="1" si="5"/>
        <v>322.95</v>
      </c>
    </row>
    <row r="333" spans="1:1">
      <c r="A333">
        <f t="shared" ca="1" si="5"/>
        <v>318.55</v>
      </c>
    </row>
    <row r="334" spans="1:1">
      <c r="A334">
        <f t="shared" ca="1" si="5"/>
        <v>326.8</v>
      </c>
    </row>
    <row r="335" spans="1:1">
      <c r="A335">
        <f t="shared" ca="1" si="5"/>
        <v>297.02</v>
      </c>
    </row>
    <row r="336" spans="1:1">
      <c r="A336">
        <f t="shared" ca="1" si="5"/>
        <v>256.73</v>
      </c>
    </row>
    <row r="337" spans="1:1">
      <c r="A337">
        <f t="shared" ca="1" si="5"/>
        <v>324.31</v>
      </c>
    </row>
    <row r="338" spans="1:1">
      <c r="A338">
        <f t="shared" ca="1" si="5"/>
        <v>299.27</v>
      </c>
    </row>
    <row r="339" spans="1:1">
      <c r="A339">
        <f t="shared" ca="1" si="5"/>
        <v>303.88</v>
      </c>
    </row>
    <row r="340" spans="1:1">
      <c r="A340">
        <f t="shared" ca="1" si="5"/>
        <v>319.27999999999997</v>
      </c>
    </row>
    <row r="341" spans="1:1">
      <c r="A341">
        <f t="shared" ca="1" si="5"/>
        <v>285.58999999999997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zoomScaleNormal="100" workbookViewId="0">
      <selection activeCell="F2" sqref="F2"/>
    </sheetView>
  </sheetViews>
  <sheetFormatPr baseColWidth="10" defaultColWidth="11.44140625" defaultRowHeight="13.2"/>
  <cols>
    <col min="1" max="1" width="17" style="59" customWidth="1"/>
    <col min="2" max="3" width="11.44140625" style="59"/>
    <col min="4" max="4" width="12.44140625" style="59" customWidth="1"/>
    <col min="5" max="5" width="57.6640625" style="59" customWidth="1"/>
    <col min="6" max="16384" width="11.44140625" style="59"/>
  </cols>
  <sheetData>
    <row r="1" spans="1:12">
      <c r="A1" s="116" t="s">
        <v>2</v>
      </c>
      <c r="B1" s="116"/>
      <c r="C1" s="116"/>
      <c r="D1" s="116"/>
      <c r="E1" s="116"/>
      <c r="F1" s="58">
        <v>7.5</v>
      </c>
      <c r="G1" s="113" t="s">
        <v>4</v>
      </c>
      <c r="H1" s="114">
        <f>F2/F1</f>
        <v>0.8</v>
      </c>
    </row>
    <row r="2" spans="1:12">
      <c r="A2" s="116" t="s">
        <v>3</v>
      </c>
      <c r="B2" s="116"/>
      <c r="C2" s="116"/>
      <c r="D2" s="116"/>
      <c r="E2" s="116"/>
      <c r="F2" s="58">
        <v>6</v>
      </c>
      <c r="G2" s="114"/>
      <c r="H2" s="114"/>
    </row>
    <row r="4" spans="1:12" ht="17.399999999999999">
      <c r="A4" s="60" t="s">
        <v>7</v>
      </c>
      <c r="G4"/>
    </row>
    <row r="5" spans="1:12" ht="24.75" customHeight="1">
      <c r="A5" s="60"/>
      <c r="E5" s="115" t="s">
        <v>9</v>
      </c>
      <c r="F5" s="115"/>
      <c r="G5"/>
    </row>
    <row r="6" spans="1:12" ht="24.75" customHeight="1">
      <c r="A6" s="61" t="s">
        <v>5</v>
      </c>
      <c r="F6" s="59">
        <f>H1/(1-H1)</f>
        <v>4.0000000000000009</v>
      </c>
      <c r="G6"/>
    </row>
    <row r="7" spans="1:12" ht="24.75" customHeight="1">
      <c r="A7" s="62" t="s">
        <v>6</v>
      </c>
      <c r="F7" s="59">
        <f>F6*H1</f>
        <v>3.2000000000000011</v>
      </c>
      <c r="G7"/>
    </row>
    <row r="8" spans="1:12" ht="24.75" customHeight="1">
      <c r="A8" s="62" t="s">
        <v>8</v>
      </c>
      <c r="F8" s="59">
        <f>F6*F1</f>
        <v>30.000000000000007</v>
      </c>
      <c r="G8"/>
    </row>
    <row r="9" spans="1:12" ht="24.75" customHeight="1">
      <c r="A9" s="61" t="s">
        <v>10</v>
      </c>
      <c r="F9" s="63">
        <f>H1</f>
        <v>0.8</v>
      </c>
      <c r="G9"/>
    </row>
    <row r="10" spans="1:12" ht="24.75" customHeight="1">
      <c r="A10" s="61" t="s">
        <v>11</v>
      </c>
      <c r="F10" s="59">
        <f>F8*H1</f>
        <v>24.000000000000007</v>
      </c>
      <c r="G10"/>
    </row>
    <row r="11" spans="1:12" ht="24.75" customHeight="1">
      <c r="G11"/>
    </row>
    <row r="12" spans="1:12">
      <c r="G12"/>
    </row>
    <row r="13" spans="1:12" ht="17.399999999999999">
      <c r="A13" s="60" t="s">
        <v>12</v>
      </c>
      <c r="F13" s="65">
        <v>3</v>
      </c>
      <c r="G13"/>
    </row>
    <row r="14" spans="1:12" ht="24.75" customHeight="1">
      <c r="A14" s="60"/>
      <c r="E14" s="115" t="s">
        <v>9</v>
      </c>
      <c r="F14" s="115"/>
      <c r="G14"/>
      <c r="J14" s="68" t="s">
        <v>13</v>
      </c>
      <c r="K14" s="69">
        <f>1-F18</f>
        <v>0.33875338753387529</v>
      </c>
      <c r="L14" s="70">
        <v>0</v>
      </c>
    </row>
    <row r="15" spans="1:12" ht="31.5" customHeight="1">
      <c r="A15" s="62" t="s">
        <v>5</v>
      </c>
      <c r="F15" s="59">
        <f>F6-(F13+1)*(H1^(F13+1))/(1-H1^(F13+1))</f>
        <v>1.2249322493224919</v>
      </c>
      <c r="G15"/>
      <c r="H15" s="64"/>
      <c r="J15" s="68" t="s">
        <v>14</v>
      </c>
      <c r="K15" s="70">
        <f>K14*0.6</f>
        <v>0.20325203252032517</v>
      </c>
      <c r="L15" s="70">
        <f>K15</f>
        <v>0.20325203252032517</v>
      </c>
    </row>
    <row r="16" spans="1:12" ht="41.25" customHeight="1">
      <c r="A16" s="62" t="s">
        <v>6</v>
      </c>
      <c r="F16" s="67">
        <f>F15-F18</f>
        <v>0.56368563685636719</v>
      </c>
      <c r="G16"/>
      <c r="J16" s="68" t="s">
        <v>15</v>
      </c>
      <c r="K16" s="70">
        <f>K15*0.6</f>
        <v>0.12195121951219509</v>
      </c>
      <c r="L16" s="70">
        <f>2*K16</f>
        <v>0.24390243902439018</v>
      </c>
    </row>
    <row r="17" spans="1:12" ht="50.25" customHeight="1">
      <c r="A17" s="62" t="s">
        <v>8</v>
      </c>
      <c r="F17" s="59">
        <f>F15*F1/(1-(1-F18)*H1^F13)</f>
        <v>11.114754098360644</v>
      </c>
      <c r="G17"/>
      <c r="J17" s="68" t="s">
        <v>16</v>
      </c>
      <c r="K17" s="70">
        <f>K16*0.6</f>
        <v>7.3170731707317055E-2</v>
      </c>
      <c r="L17" s="70">
        <f>3*K17</f>
        <v>0.21951219512195116</v>
      </c>
    </row>
    <row r="18" spans="1:12" ht="24.75" customHeight="1">
      <c r="A18" s="61" t="s">
        <v>10</v>
      </c>
      <c r="F18" s="63">
        <f>1-(1-H1)/(1-H1^(F13+1))</f>
        <v>0.66124661246612471</v>
      </c>
      <c r="G18"/>
      <c r="J18" s="68" t="s">
        <v>17</v>
      </c>
      <c r="K18" s="69">
        <f>SUM(K14:K17)</f>
        <v>0.73712737127371264</v>
      </c>
      <c r="L18" s="71">
        <f>SUM(L14:L17)</f>
        <v>0.66666666666666652</v>
      </c>
    </row>
    <row r="19" spans="1:12" ht="48.75" customHeight="1">
      <c r="A19" s="61" t="s">
        <v>11</v>
      </c>
      <c r="E19" s="66"/>
      <c r="F19" s="67">
        <f>F16*F1/(1-(1-F18)*H1^F13)</f>
        <v>5.1147540983606445</v>
      </c>
      <c r="G19"/>
    </row>
  </sheetData>
  <mergeCells count="6">
    <mergeCell ref="G1:G2"/>
    <mergeCell ref="H1:H2"/>
    <mergeCell ref="E5:F5"/>
    <mergeCell ref="E14:F14"/>
    <mergeCell ref="A1:E1"/>
    <mergeCell ref="A2:E2"/>
  </mergeCells>
  <phoneticPr fontId="0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84"/>
  <sheetViews>
    <sheetView workbookViewId="0">
      <selection activeCell="H12" sqref="H12"/>
    </sheetView>
  </sheetViews>
  <sheetFormatPr baseColWidth="10" defaultRowHeight="13.2"/>
  <sheetData>
    <row r="1" spans="1:25">
      <c r="B1" s="49" t="s">
        <v>1</v>
      </c>
    </row>
    <row r="2" spans="1:25">
      <c r="B2" s="117" t="s">
        <v>92</v>
      </c>
      <c r="C2" s="117"/>
      <c r="D2" s="117"/>
      <c r="E2" s="117"/>
      <c r="F2" s="117"/>
      <c r="G2" s="117"/>
      <c r="H2" s="117"/>
      <c r="I2" s="117"/>
      <c r="J2" s="46"/>
    </row>
    <row r="3" spans="1:25" ht="39.6">
      <c r="A3" s="54" t="s">
        <v>84</v>
      </c>
      <c r="B3" s="55" t="s">
        <v>85</v>
      </c>
      <c r="C3" s="55" t="s">
        <v>86</v>
      </c>
      <c r="D3" s="55" t="s">
        <v>87</v>
      </c>
      <c r="E3" s="55" t="s">
        <v>88</v>
      </c>
      <c r="F3" s="55" t="s">
        <v>89</v>
      </c>
      <c r="G3" s="55" t="s">
        <v>90</v>
      </c>
      <c r="H3" s="55" t="s">
        <v>93</v>
      </c>
      <c r="I3" s="55" t="s">
        <v>91</v>
      </c>
      <c r="X3" s="27" t="s">
        <v>18</v>
      </c>
      <c r="Y3" s="27" t="s">
        <v>19</v>
      </c>
    </row>
    <row r="4" spans="1:25">
      <c r="A4" s="39">
        <v>0</v>
      </c>
      <c r="B4" s="44">
        <v>1</v>
      </c>
      <c r="C4" s="44">
        <v>1</v>
      </c>
      <c r="D4" s="44">
        <v>1</v>
      </c>
      <c r="E4" s="44">
        <v>1</v>
      </c>
      <c r="F4" s="44">
        <v>1</v>
      </c>
      <c r="G4" s="44">
        <v>1</v>
      </c>
      <c r="H4" s="44">
        <v>1</v>
      </c>
      <c r="I4" s="44">
        <v>1</v>
      </c>
      <c r="X4">
        <f>A4</f>
        <v>0</v>
      </c>
      <c r="Y4">
        <v>0</v>
      </c>
    </row>
    <row r="5" spans="1:25">
      <c r="A5" s="39">
        <f>A4+0.05</f>
        <v>0.05</v>
      </c>
      <c r="B5" s="44">
        <f>1-GAMMADIST($A5,1,4,1)</f>
        <v>0.98757780049388144</v>
      </c>
      <c r="C5" s="44">
        <f>1-GAMMADIST($A5,2,4,1)</f>
        <v>0.99992252300005491</v>
      </c>
      <c r="D5" s="44">
        <f>1-GAMMADIST($A5,3,4,1)</f>
        <v>0.9999996775157185</v>
      </c>
      <c r="E5" s="44">
        <f>1-GAMMADIST($A5,4,4,1)</f>
        <v>0.99999999899286718</v>
      </c>
      <c r="F5" s="44">
        <f>1-GAMMADIST($A5,5,4,1)</f>
        <v>0.99999999999748324</v>
      </c>
      <c r="G5" s="44">
        <f>1-GAMMADIST($A5,2,2,1)</f>
        <v>0.99969265982904099</v>
      </c>
      <c r="H5" s="44">
        <f>1-GAMMADIST($A5,3,2,1)</f>
        <v>0.99999744417654979</v>
      </c>
      <c r="I5" s="44">
        <f>1-GAMMADIST($A5,5,2,1)</f>
        <v>0.9999999999202972</v>
      </c>
      <c r="X5">
        <f>A5-0.025</f>
        <v>2.5000000000000001E-2</v>
      </c>
      <c r="Y5" s="56">
        <f>1-B5</f>
        <v>1.2422199506118559E-2</v>
      </c>
    </row>
    <row r="6" spans="1:25">
      <c r="A6" s="39">
        <f t="shared" ref="A6:A24" si="0">A5+0.05</f>
        <v>0.1</v>
      </c>
      <c r="B6" s="44">
        <f t="shared" ref="B6:B69" si="1">1-GAMMADIST(A6,1,4,1)</f>
        <v>0.97530991202833262</v>
      </c>
      <c r="C6" s="44">
        <f t="shared" ref="C6:C69" si="2">1-GAMMADIST($A6,2,4,1)</f>
        <v>0.99969265982904099</v>
      </c>
      <c r="D6" s="44">
        <f t="shared" ref="D6:D69" si="3">1-GAMMADIST($A6,3,4,1)</f>
        <v>0.99999744417654979</v>
      </c>
      <c r="E6" s="44">
        <f t="shared" ref="E6:E69" si="4">1-GAMMADIST($A6,4,4,1)</f>
        <v>0.99999998404611246</v>
      </c>
      <c r="F6" s="44">
        <f t="shared" ref="F6:F69" si="5">1-GAMMADIST($A6,5,4,1)</f>
        <v>0.9999999999202972</v>
      </c>
      <c r="G6" s="44">
        <f t="shared" ref="G6:G69" si="6">1-GAMMADIST($A6,2,2,1)</f>
        <v>0.99879089572574975</v>
      </c>
      <c r="H6" s="44">
        <f t="shared" ref="H6:H69" si="7">1-GAMMADIST($A6,3,2,1)</f>
        <v>0.99997993250637562</v>
      </c>
      <c r="I6" s="44">
        <f t="shared" ref="I6:I69" si="8">1-GAMMADIST($A6,5,2,1)</f>
        <v>0.99999999750204871</v>
      </c>
      <c r="X6">
        <f t="shared" ref="X6:X69" si="9">A6-0.025</f>
        <v>7.5000000000000011E-2</v>
      </c>
      <c r="Y6" s="56">
        <f>B5-B6</f>
        <v>1.2267888465548826E-2</v>
      </c>
    </row>
    <row r="7" spans="1:25">
      <c r="A7" s="39">
        <f t="shared" si="0"/>
        <v>0.15000000000000002</v>
      </c>
      <c r="B7" s="44">
        <f t="shared" si="1"/>
        <v>0.96319441772082182</v>
      </c>
      <c r="C7" s="44">
        <f t="shared" si="2"/>
        <v>0.99931420838535256</v>
      </c>
      <c r="D7" s="44">
        <f t="shared" si="3"/>
        <v>0.99999145446031257</v>
      </c>
      <c r="E7" s="44">
        <f t="shared" si="4"/>
        <v>0.99999992003624949</v>
      </c>
      <c r="F7" s="44">
        <f t="shared" si="5"/>
        <v>0.99999999940102391</v>
      </c>
      <c r="G7" s="44">
        <f t="shared" si="6"/>
        <v>0.9973242478031944</v>
      </c>
      <c r="H7" s="44">
        <f t="shared" si="7"/>
        <v>0.99993352635849342</v>
      </c>
      <c r="I7" s="44">
        <f t="shared" si="8"/>
        <v>0.99999998142169866</v>
      </c>
      <c r="X7">
        <f t="shared" si="9"/>
        <v>0.12500000000000003</v>
      </c>
      <c r="Y7" s="56">
        <f t="shared" ref="Y7:Y70" si="10">B6-B7</f>
        <v>1.2115494307510799E-2</v>
      </c>
    </row>
    <row r="8" spans="1:25">
      <c r="A8" s="39">
        <f t="shared" si="0"/>
        <v>0.2</v>
      </c>
      <c r="B8" s="44">
        <f t="shared" si="1"/>
        <v>0.95122942450071402</v>
      </c>
      <c r="C8" s="44">
        <f t="shared" si="2"/>
        <v>0.99879089572574975</v>
      </c>
      <c r="D8" s="44">
        <f t="shared" si="3"/>
        <v>0.99997993250637562</v>
      </c>
      <c r="E8" s="44">
        <f t="shared" si="4"/>
        <v>0.99999974978605266</v>
      </c>
      <c r="F8" s="44">
        <f t="shared" si="5"/>
        <v>0.99999999750204871</v>
      </c>
      <c r="G8" s="44">
        <f t="shared" si="6"/>
        <v>0.99532115983955549</v>
      </c>
      <c r="H8" s="44">
        <f t="shared" si="7"/>
        <v>0.99984534692973537</v>
      </c>
      <c r="I8" s="44">
        <f t="shared" si="8"/>
        <v>0.99999992332198318</v>
      </c>
      <c r="X8">
        <f t="shared" si="9"/>
        <v>0.17500000000000002</v>
      </c>
      <c r="Y8" s="56">
        <f t="shared" si="10"/>
        <v>1.19649932201078E-2</v>
      </c>
    </row>
    <row r="9" spans="1:25">
      <c r="A9" s="39">
        <f t="shared" si="0"/>
        <v>0.25</v>
      </c>
      <c r="B9" s="44">
        <f t="shared" si="1"/>
        <v>0.93941306281347581</v>
      </c>
      <c r="C9" s="44">
        <f t="shared" si="2"/>
        <v>0.99812637923931802</v>
      </c>
      <c r="D9" s="44">
        <f t="shared" si="3"/>
        <v>0.99996117037762555</v>
      </c>
      <c r="E9" s="44">
        <f t="shared" si="4"/>
        <v>0.99999939519300696</v>
      </c>
      <c r="F9" s="44">
        <f t="shared" si="5"/>
        <v>0.99999999245574733</v>
      </c>
      <c r="G9" s="44">
        <f t="shared" si="6"/>
        <v>0.99280901540766986</v>
      </c>
      <c r="H9" s="44">
        <f t="shared" si="7"/>
        <v>0.99970352245911198</v>
      </c>
      <c r="I9" s="44">
        <f t="shared" si="8"/>
        <v>0.99999977080897862</v>
      </c>
      <c r="X9">
        <f t="shared" si="9"/>
        <v>0.22500000000000001</v>
      </c>
      <c r="Y9" s="56">
        <f t="shared" si="10"/>
        <v>1.1816361687238208E-2</v>
      </c>
    </row>
    <row r="10" spans="1:25">
      <c r="A10" s="39">
        <f t="shared" si="0"/>
        <v>0.3</v>
      </c>
      <c r="B10" s="44">
        <f t="shared" si="1"/>
        <v>0.92774348632855286</v>
      </c>
      <c r="C10" s="44">
        <f t="shared" si="2"/>
        <v>0.9973242478031944</v>
      </c>
      <c r="D10" s="44">
        <f t="shared" si="3"/>
        <v>0.99993352635849342</v>
      </c>
      <c r="E10" s="44">
        <f t="shared" si="4"/>
        <v>0.99999875832237584</v>
      </c>
      <c r="F10" s="44">
        <f t="shared" si="5"/>
        <v>0.99999998142169866</v>
      </c>
      <c r="G10" s="44">
        <f t="shared" si="6"/>
        <v>0.98981417288881646</v>
      </c>
      <c r="H10" s="44">
        <f t="shared" si="7"/>
        <v>0.99949713762359838</v>
      </c>
      <c r="I10" s="44">
        <f t="shared" si="8"/>
        <v>0.99999944141921515</v>
      </c>
      <c r="X10">
        <f t="shared" si="9"/>
        <v>0.27499999999999997</v>
      </c>
      <c r="Y10" s="56">
        <f t="shared" si="10"/>
        <v>1.166957648492295E-2</v>
      </c>
    </row>
    <row r="11" spans="1:25">
      <c r="A11" s="39">
        <f t="shared" si="0"/>
        <v>0.35</v>
      </c>
      <c r="B11" s="44">
        <f t="shared" si="1"/>
        <v>0.91621887165087768</v>
      </c>
      <c r="C11" s="44">
        <f t="shared" si="2"/>
        <v>0.99638802292032946</v>
      </c>
      <c r="D11" s="44">
        <f t="shared" si="3"/>
        <v>0.99989542328836789</v>
      </c>
      <c r="E11" s="44">
        <f t="shared" si="4"/>
        <v>0.99999772246576901</v>
      </c>
      <c r="F11" s="44">
        <f t="shared" si="5"/>
        <v>0.99999996026027471</v>
      </c>
      <c r="G11" s="44">
        <f t="shared" si="6"/>
        <v>0.98636199940381863</v>
      </c>
      <c r="H11" s="44">
        <f t="shared" si="7"/>
        <v>0.99921618503434717</v>
      </c>
      <c r="I11" s="44">
        <f t="shared" si="8"/>
        <v>0.99999881748237252</v>
      </c>
      <c r="X11">
        <f t="shared" si="9"/>
        <v>0.32499999999999996</v>
      </c>
      <c r="Y11" s="56">
        <f t="shared" si="10"/>
        <v>1.1524614677675182E-2</v>
      </c>
    </row>
    <row r="12" spans="1:25">
      <c r="A12" s="39">
        <f t="shared" si="0"/>
        <v>0.39999999999999997</v>
      </c>
      <c r="B12" s="44">
        <f t="shared" si="1"/>
        <v>0.90483741803595952</v>
      </c>
      <c r="C12" s="44">
        <f t="shared" si="2"/>
        <v>0.99532115983955549</v>
      </c>
      <c r="D12" s="44">
        <f t="shared" si="3"/>
        <v>0.99984534692973537</v>
      </c>
      <c r="E12" s="44">
        <f t="shared" si="4"/>
        <v>0.99999615316607471</v>
      </c>
      <c r="F12" s="44">
        <f t="shared" si="5"/>
        <v>0.99999992332198318</v>
      </c>
      <c r="G12" s="44">
        <f t="shared" si="6"/>
        <v>0.98247690369357821</v>
      </c>
      <c r="H12" s="44">
        <f t="shared" si="7"/>
        <v>0.99885151875513789</v>
      </c>
      <c r="I12" s="44">
        <f t="shared" si="8"/>
        <v>0.999997741809447</v>
      </c>
      <c r="X12">
        <f t="shared" si="9"/>
        <v>0.37499999999999994</v>
      </c>
      <c r="Y12" s="56">
        <f t="shared" si="10"/>
        <v>1.1381453614918158E-2</v>
      </c>
    </row>
    <row r="13" spans="1:25">
      <c r="A13" s="39">
        <f t="shared" si="0"/>
        <v>0.44999999999999996</v>
      </c>
      <c r="B13" s="44">
        <f t="shared" si="1"/>
        <v>0.89359734710851568</v>
      </c>
      <c r="C13" s="44">
        <f t="shared" si="2"/>
        <v>0.99412704865822366</v>
      </c>
      <c r="D13" s="44">
        <f t="shared" si="3"/>
        <v>0.99978184437039475</v>
      </c>
      <c r="E13" s="44">
        <f t="shared" si="4"/>
        <v>0.99999389920960113</v>
      </c>
      <c r="F13" s="44">
        <f t="shared" si="5"/>
        <v>0.99999986325195389</v>
      </c>
      <c r="G13" s="44">
        <f t="shared" si="6"/>
        <v>0.97818236798023683</v>
      </c>
      <c r="H13" s="44">
        <f t="shared" si="7"/>
        <v>0.99839480976758366</v>
      </c>
      <c r="I13" s="44">
        <f t="shared" si="8"/>
        <v>0.99999601414042494</v>
      </c>
      <c r="X13">
        <f t="shared" si="9"/>
        <v>0.42499999999999993</v>
      </c>
      <c r="Y13" s="56">
        <f t="shared" si="10"/>
        <v>1.1240070927443835E-2</v>
      </c>
    </row>
    <row r="14" spans="1:25">
      <c r="A14" s="39">
        <f t="shared" si="0"/>
        <v>0.49999999999999994</v>
      </c>
      <c r="B14" s="44">
        <f t="shared" si="1"/>
        <v>0.88249690258459546</v>
      </c>
      <c r="C14" s="44">
        <f t="shared" si="2"/>
        <v>0.99280901540766986</v>
      </c>
      <c r="D14" s="44">
        <f t="shared" si="3"/>
        <v>0.99970352245911198</v>
      </c>
      <c r="E14" s="44">
        <f t="shared" si="4"/>
        <v>0.99999079358625542</v>
      </c>
      <c r="F14" s="44">
        <f t="shared" si="5"/>
        <v>0.99999977080897862</v>
      </c>
      <c r="G14" s="44">
        <f t="shared" si="6"/>
        <v>0.97350097883925613</v>
      </c>
      <c r="H14" s="44">
        <f t="shared" si="7"/>
        <v>0.99783850331023749</v>
      </c>
      <c r="I14" s="44">
        <f t="shared" si="8"/>
        <v>0.99999338828943896</v>
      </c>
      <c r="X14">
        <f t="shared" si="9"/>
        <v>0.47499999999999992</v>
      </c>
      <c r="Y14" s="56">
        <f t="shared" si="10"/>
        <v>1.1100444523920228E-2</v>
      </c>
    </row>
    <row r="15" spans="1:25">
      <c r="A15" s="39">
        <f t="shared" si="0"/>
        <v>0.54999999999999993</v>
      </c>
      <c r="B15" s="44">
        <f t="shared" si="1"/>
        <v>0.87153434999715795</v>
      </c>
      <c r="C15" s="44">
        <f t="shared" si="2"/>
        <v>0.99137032312176709</v>
      </c>
      <c r="D15" s="44">
        <f t="shared" si="3"/>
        <v>0.99960904627408398</v>
      </c>
      <c r="E15" s="44">
        <f t="shared" si="4"/>
        <v>0.99998665441856516</v>
      </c>
      <c r="F15" s="44">
        <f t="shared" si="5"/>
        <v>0.9999996346985317</v>
      </c>
      <c r="G15" s="44">
        <f t="shared" si="6"/>
        <v>0.96845445711183475</v>
      </c>
      <c r="H15" s="44">
        <f t="shared" si="7"/>
        <v>0.99717577802127888</v>
      </c>
      <c r="I15" s="44">
        <f t="shared" si="8"/>
        <v>0.99998956992912602</v>
      </c>
      <c r="X15">
        <f t="shared" si="9"/>
        <v>0.52499999999999991</v>
      </c>
      <c r="Y15" s="56">
        <f t="shared" si="10"/>
        <v>1.0962552587437502E-2</v>
      </c>
    </row>
    <row r="16" spans="1:25">
      <c r="A16" s="39">
        <f t="shared" si="0"/>
        <v>0.6</v>
      </c>
      <c r="B16" s="44">
        <f t="shared" si="1"/>
        <v>0.86070797642505781</v>
      </c>
      <c r="C16" s="44">
        <f t="shared" si="2"/>
        <v>0.98981417288881646</v>
      </c>
      <c r="D16" s="44">
        <f t="shared" si="3"/>
        <v>0.99949713762359838</v>
      </c>
      <c r="E16" s="44">
        <f t="shared" si="4"/>
        <v>0.99998128586033752</v>
      </c>
      <c r="F16" s="44">
        <f t="shared" si="5"/>
        <v>0.99999944141921515</v>
      </c>
      <c r="G16" s="44">
        <f t="shared" si="6"/>
        <v>0.96306368688623323</v>
      </c>
      <c r="H16" s="44">
        <f t="shared" si="7"/>
        <v>0.9964005068169105</v>
      </c>
      <c r="I16" s="44">
        <f t="shared" si="8"/>
        <v>0.99998421495945833</v>
      </c>
      <c r="X16">
        <f t="shared" si="9"/>
        <v>0.57499999999999996</v>
      </c>
      <c r="Y16" s="56">
        <f t="shared" si="10"/>
        <v>1.0826373572100145E-2</v>
      </c>
    </row>
    <row r="17" spans="1:25">
      <c r="A17" s="39">
        <f t="shared" si="0"/>
        <v>0.65</v>
      </c>
      <c r="B17" s="44">
        <f t="shared" si="1"/>
        <v>0.85001609022539815</v>
      </c>
      <c r="C17" s="44">
        <f t="shared" si="2"/>
        <v>0.9881437048870253</v>
      </c>
      <c r="D17" s="44">
        <f t="shared" si="3"/>
        <v>0.99936657357828251</v>
      </c>
      <c r="E17" s="44">
        <f t="shared" si="4"/>
        <v>0.99997447896572567</v>
      </c>
      <c r="F17" s="44">
        <f t="shared" si="5"/>
        <v>0.99999917512209047</v>
      </c>
      <c r="G17" s="44">
        <f t="shared" si="6"/>
        <v>0.95734874357574562</v>
      </c>
      <c r="H17" s="44">
        <f t="shared" si="7"/>
        <v>0.99550721943996756</v>
      </c>
      <c r="I17" s="44">
        <f t="shared" si="8"/>
        <v>0.99997692840968821</v>
      </c>
      <c r="X17">
        <f t="shared" si="9"/>
        <v>0.625</v>
      </c>
      <c r="Y17" s="56">
        <f t="shared" si="10"/>
        <v>1.0691886199659661E-2</v>
      </c>
    </row>
    <row r="18" spans="1:25">
      <c r="A18" s="39">
        <f t="shared" si="0"/>
        <v>0.70000000000000007</v>
      </c>
      <c r="B18" s="44">
        <f t="shared" si="1"/>
        <v>0.83945702076920736</v>
      </c>
      <c r="C18" s="44">
        <f t="shared" si="2"/>
        <v>0.98636199940381863</v>
      </c>
      <c r="D18" s="44">
        <f t="shared" si="3"/>
        <v>0.99921618503434717</v>
      </c>
      <c r="E18" s="44">
        <f t="shared" si="4"/>
        <v>0.99996601252946127</v>
      </c>
      <c r="F18" s="44">
        <f t="shared" si="5"/>
        <v>0.99999881748237252</v>
      </c>
      <c r="G18" s="44">
        <f t="shared" si="6"/>
        <v>0.95132892112026313</v>
      </c>
      <c r="H18" s="44">
        <f t="shared" si="7"/>
        <v>0.99449106661553432</v>
      </c>
      <c r="I18" s="44">
        <f t="shared" si="8"/>
        <v>0.99996726382524692</v>
      </c>
      <c r="X18">
        <f t="shared" si="9"/>
        <v>0.67500000000000004</v>
      </c>
      <c r="Y18" s="56">
        <f t="shared" si="10"/>
        <v>1.0559069456190784E-2</v>
      </c>
    </row>
    <row r="19" spans="1:25">
      <c r="A19" s="39">
        <f t="shared" si="0"/>
        <v>0.75000000000000011</v>
      </c>
      <c r="B19" s="44">
        <f t="shared" si="1"/>
        <v>0.82902911818040037</v>
      </c>
      <c r="C19" s="44">
        <f t="shared" si="2"/>
        <v>0.98447207783922541</v>
      </c>
      <c r="D19" s="44">
        <f t="shared" si="3"/>
        <v>0.9990448553072403</v>
      </c>
      <c r="E19" s="44">
        <f t="shared" si="4"/>
        <v>0.99995565389899121</v>
      </c>
      <c r="F19" s="44">
        <f t="shared" si="5"/>
        <v>0.99999834758297956</v>
      </c>
      <c r="G19" s="44">
        <f t="shared" si="6"/>
        <v>0.94502275833758675</v>
      </c>
      <c r="H19" s="44">
        <f t="shared" si="7"/>
        <v>0.99334778575257698</v>
      </c>
      <c r="I19" s="44">
        <f t="shared" si="8"/>
        <v>0.9999547230944702</v>
      </c>
      <c r="X19">
        <f t="shared" si="9"/>
        <v>0.72500000000000009</v>
      </c>
      <c r="Y19" s="56">
        <f t="shared" si="10"/>
        <v>1.0427902588806992E-2</v>
      </c>
    </row>
    <row r="20" spans="1:25">
      <c r="A20" s="39">
        <f t="shared" si="0"/>
        <v>0.80000000000000016</v>
      </c>
      <c r="B20" s="44">
        <f t="shared" si="1"/>
        <v>0.81873075307798182</v>
      </c>
      <c r="C20" s="44">
        <f t="shared" si="2"/>
        <v>0.98247690369357821</v>
      </c>
      <c r="D20" s="44">
        <f t="shared" si="3"/>
        <v>0.99885151875513789</v>
      </c>
      <c r="E20" s="44">
        <f t="shared" si="4"/>
        <v>0.99994315975924186</v>
      </c>
      <c r="F20" s="44">
        <f t="shared" si="5"/>
        <v>0.999997741809447</v>
      </c>
      <c r="G20" s="44">
        <f t="shared" si="6"/>
        <v>0.93844806444989504</v>
      </c>
      <c r="H20" s="44">
        <f t="shared" si="7"/>
        <v>0.99207366813274611</v>
      </c>
      <c r="I20" s="44">
        <f t="shared" si="8"/>
        <v>0.99993875667289767</v>
      </c>
      <c r="X20">
        <f t="shared" si="9"/>
        <v>0.77500000000000013</v>
      </c>
      <c r="Y20" s="56">
        <f t="shared" si="10"/>
        <v>1.029836510241855E-2</v>
      </c>
    </row>
    <row r="21" spans="1:25">
      <c r="A21" s="39">
        <f t="shared" si="0"/>
        <v>0.8500000000000002</v>
      </c>
      <c r="B21" s="44">
        <f t="shared" si="1"/>
        <v>0.80856031632145242</v>
      </c>
      <c r="C21" s="44">
        <f t="shared" si="2"/>
        <v>0.98037938353976106</v>
      </c>
      <c r="D21" s="44">
        <f t="shared" si="3"/>
        <v>0.99863515943170644</v>
      </c>
      <c r="E21" s="44">
        <f t="shared" si="4"/>
        <v>0.99992827689071917</v>
      </c>
      <c r="F21" s="44">
        <f t="shared" si="5"/>
        <v>0.99999697375572927</v>
      </c>
      <c r="G21" s="44">
        <f t="shared" si="6"/>
        <v>0.93162194381003227</v>
      </c>
      <c r="H21" s="44">
        <f t="shared" si="7"/>
        <v>0.99066552752957171</v>
      </c>
      <c r="I21" s="44">
        <f t="shared" si="8"/>
        <v>0.9999187641656182</v>
      </c>
      <c r="X21">
        <f t="shared" si="9"/>
        <v>0.82500000000000018</v>
      </c>
      <c r="Y21" s="56">
        <f t="shared" si="10"/>
        <v>1.01704367565294E-2</v>
      </c>
    </row>
    <row r="22" spans="1:25">
      <c r="A22" s="39">
        <f t="shared" si="0"/>
        <v>0.90000000000000024</v>
      </c>
      <c r="B22" s="44">
        <f t="shared" si="1"/>
        <v>0.79851621875937706</v>
      </c>
      <c r="C22" s="44">
        <f t="shared" si="2"/>
        <v>0.97818236798023683</v>
      </c>
      <c r="D22" s="44">
        <f t="shared" si="3"/>
        <v>0.99839480976758366</v>
      </c>
      <c r="E22" s="44">
        <f t="shared" si="4"/>
        <v>0.99991074290163462</v>
      </c>
      <c r="F22" s="44">
        <f t="shared" si="5"/>
        <v>0.99999601414042494</v>
      </c>
      <c r="G22" s="44">
        <f t="shared" si="6"/>
        <v>0.92456081985157124</v>
      </c>
      <c r="H22" s="44">
        <f t="shared" si="7"/>
        <v>0.98912067020327576</v>
      </c>
      <c r="I22" s="44">
        <f t="shared" si="8"/>
        <v>0.99989409523071648</v>
      </c>
      <c r="X22">
        <f t="shared" si="9"/>
        <v>0.87500000000000022</v>
      </c>
      <c r="Y22" s="56">
        <f t="shared" si="10"/>
        <v>1.004409756207536E-2</v>
      </c>
    </row>
    <row r="23" spans="1:25">
      <c r="A23" s="39">
        <f t="shared" si="0"/>
        <v>0.95000000000000029</v>
      </c>
      <c r="B23" s="44">
        <f t="shared" si="1"/>
        <v>0.78859689098107655</v>
      </c>
      <c r="C23" s="44">
        <f t="shared" si="2"/>
        <v>0.97588865258908231</v>
      </c>
      <c r="D23" s="44">
        <f t="shared" si="3"/>
        <v>0.99812954928003306</v>
      </c>
      <c r="E23" s="44">
        <f t="shared" si="4"/>
        <v>0.99989028693473325</v>
      </c>
      <c r="F23" s="44">
        <f t="shared" si="5"/>
        <v>0.99999483073298112</v>
      </c>
      <c r="G23" s="44">
        <f t="shared" si="6"/>
        <v>0.91728045828590454</v>
      </c>
      <c r="H23" s="44">
        <f t="shared" si="7"/>
        <v>0.98743686621836468</v>
      </c>
      <c r="I23" s="44">
        <f t="shared" si="8"/>
        <v>0.99986405076931761</v>
      </c>
      <c r="X23">
        <f t="shared" si="9"/>
        <v>0.92500000000000027</v>
      </c>
      <c r="Y23" s="56">
        <f t="shared" si="10"/>
        <v>9.9193277783005129E-3</v>
      </c>
    </row>
    <row r="24" spans="1:25">
      <c r="A24" s="39">
        <f t="shared" si="0"/>
        <v>1.0000000000000002</v>
      </c>
      <c r="B24" s="44">
        <f t="shared" si="1"/>
        <v>0.77880078307140477</v>
      </c>
      <c r="C24" s="44">
        <f t="shared" si="2"/>
        <v>0.97350097883925613</v>
      </c>
      <c r="D24" s="44">
        <f t="shared" si="3"/>
        <v>0.99783850331023749</v>
      </c>
      <c r="E24" s="44">
        <f t="shared" si="4"/>
        <v>0.99986663034948597</v>
      </c>
      <c r="F24" s="44">
        <f t="shared" si="5"/>
        <v>0.99999338828943896</v>
      </c>
      <c r="G24" s="44">
        <f t="shared" si="6"/>
        <v>0.90979598956895014</v>
      </c>
      <c r="H24" s="44">
        <f t="shared" si="7"/>
        <v>0.98561232203302929</v>
      </c>
      <c r="I24" s="44">
        <f t="shared" si="8"/>
        <v>0.99982788437004411</v>
      </c>
      <c r="X24">
        <f t="shared" si="9"/>
        <v>0.9750000000000002</v>
      </c>
      <c r="Y24" s="56">
        <f t="shared" si="10"/>
        <v>9.7961079096717807E-3</v>
      </c>
    </row>
    <row r="25" spans="1:25">
      <c r="A25" s="39">
        <f t="shared" ref="A25:A44" si="11">A24+0.1</f>
        <v>1.1000000000000003</v>
      </c>
      <c r="B25" s="44">
        <f t="shared" si="1"/>
        <v>0.75957212322496837</v>
      </c>
      <c r="C25" s="44">
        <f t="shared" si="2"/>
        <v>0.96845445711183475</v>
      </c>
      <c r="D25" s="44">
        <f t="shared" si="3"/>
        <v>0.99717577802127888</v>
      </c>
      <c r="E25" s="44">
        <f t="shared" si="4"/>
        <v>0.99980856577131128</v>
      </c>
      <c r="F25" s="44">
        <f t="shared" si="5"/>
        <v>0.99998956992912602</v>
      </c>
      <c r="G25" s="44">
        <f t="shared" si="6"/>
        <v>0.89427220608975433</v>
      </c>
      <c r="H25" s="44">
        <f t="shared" si="7"/>
        <v>0.98153586490980294</v>
      </c>
      <c r="I25" s="44">
        <f t="shared" si="8"/>
        <v>0.9997339737595673</v>
      </c>
      <c r="X25">
        <f t="shared" si="9"/>
        <v>1.0750000000000004</v>
      </c>
      <c r="Y25" s="56">
        <f t="shared" si="10"/>
        <v>1.9228659846436402E-2</v>
      </c>
    </row>
    <row r="26" spans="1:25">
      <c r="A26" s="39">
        <f t="shared" si="11"/>
        <v>1.2000000000000004</v>
      </c>
      <c r="B26" s="44">
        <f t="shared" si="1"/>
        <v>0.74081822068171777</v>
      </c>
      <c r="C26" s="44">
        <f t="shared" si="2"/>
        <v>0.96306368688623323</v>
      </c>
      <c r="D26" s="44">
        <f t="shared" si="3"/>
        <v>0.9964005068169105</v>
      </c>
      <c r="E26" s="44">
        <f t="shared" si="4"/>
        <v>0.99973418880997822</v>
      </c>
      <c r="F26" s="44">
        <f t="shared" si="5"/>
        <v>0.99998421495945833</v>
      </c>
      <c r="G26" s="44">
        <f t="shared" si="6"/>
        <v>0.87809861775044229</v>
      </c>
      <c r="H26" s="44">
        <f t="shared" si="7"/>
        <v>0.97688471224736706</v>
      </c>
      <c r="I26" s="44">
        <f t="shared" si="8"/>
        <v>0.99960551398165975</v>
      </c>
      <c r="X26">
        <f t="shared" si="9"/>
        <v>1.1750000000000005</v>
      </c>
      <c r="Y26" s="56">
        <f t="shared" si="10"/>
        <v>1.87539025432506E-2</v>
      </c>
    </row>
    <row r="27" spans="1:25">
      <c r="A27" s="39">
        <f t="shared" si="11"/>
        <v>1.3000000000000005</v>
      </c>
      <c r="B27" s="44">
        <f t="shared" si="1"/>
        <v>0.7225273536420721</v>
      </c>
      <c r="C27" s="44">
        <f t="shared" si="2"/>
        <v>0.95734874357574562</v>
      </c>
      <c r="D27" s="44">
        <f t="shared" si="3"/>
        <v>0.99550721943996756</v>
      </c>
      <c r="E27" s="44">
        <f t="shared" si="4"/>
        <v>0.99964105432525829</v>
      </c>
      <c r="F27" s="44">
        <f t="shared" si="5"/>
        <v>0.99997692840968821</v>
      </c>
      <c r="G27" s="44">
        <f t="shared" si="6"/>
        <v>0.86137553165567637</v>
      </c>
      <c r="H27" s="44">
        <f t="shared" si="7"/>
        <v>0.97165770199644108</v>
      </c>
      <c r="I27" s="44">
        <f t="shared" si="8"/>
        <v>0.99943502365102121</v>
      </c>
      <c r="X27">
        <f t="shared" si="9"/>
        <v>1.2750000000000006</v>
      </c>
      <c r="Y27" s="56">
        <f t="shared" si="10"/>
        <v>1.8290867039645664E-2</v>
      </c>
    </row>
    <row r="28" spans="1:25">
      <c r="A28" s="39">
        <f t="shared" si="11"/>
        <v>1.4000000000000006</v>
      </c>
      <c r="B28" s="44">
        <f t="shared" si="1"/>
        <v>0.70468808971871333</v>
      </c>
      <c r="C28" s="44">
        <f t="shared" si="2"/>
        <v>0.95132892112026313</v>
      </c>
      <c r="D28" s="44">
        <f t="shared" si="3"/>
        <v>0.99449106661553432</v>
      </c>
      <c r="E28" s="44">
        <f t="shared" si="4"/>
        <v>0.99952665025664933</v>
      </c>
      <c r="F28" s="44">
        <f t="shared" si="5"/>
        <v>0.99996726382524692</v>
      </c>
      <c r="G28" s="44">
        <f t="shared" si="6"/>
        <v>0.84419501644539607</v>
      </c>
      <c r="H28" s="44">
        <f t="shared" si="7"/>
        <v>0.96585841587429144</v>
      </c>
      <c r="I28" s="44">
        <f t="shared" si="8"/>
        <v>0.99921446455104701</v>
      </c>
      <c r="X28">
        <f t="shared" si="9"/>
        <v>1.3750000000000007</v>
      </c>
      <c r="Y28" s="56">
        <f t="shared" si="10"/>
        <v>1.7839263923358772E-2</v>
      </c>
    </row>
    <row r="29" spans="1:25">
      <c r="A29" s="39">
        <f t="shared" si="11"/>
        <v>1.5000000000000007</v>
      </c>
      <c r="B29" s="44">
        <f t="shared" si="1"/>
        <v>0.68728927879097212</v>
      </c>
      <c r="C29" s="44">
        <f t="shared" si="2"/>
        <v>0.94502275833758675</v>
      </c>
      <c r="D29" s="44">
        <f t="shared" si="3"/>
        <v>0.99334778575257698</v>
      </c>
      <c r="E29" s="44">
        <f t="shared" si="4"/>
        <v>0.99938841417945079</v>
      </c>
      <c r="F29" s="44">
        <f t="shared" si="5"/>
        <v>0.9999547230944702</v>
      </c>
      <c r="G29" s="44">
        <f t="shared" si="6"/>
        <v>0.82664146729677568</v>
      </c>
      <c r="H29" s="44">
        <f t="shared" si="7"/>
        <v>0.95949456025518609</v>
      </c>
      <c r="I29" s="44">
        <f t="shared" si="8"/>
        <v>0.99893532222721415</v>
      </c>
      <c r="X29">
        <f t="shared" si="9"/>
        <v>1.4750000000000008</v>
      </c>
      <c r="Y29" s="56">
        <f t="shared" si="10"/>
        <v>1.7398810927741204E-2</v>
      </c>
    </row>
    <row r="30" spans="1:25">
      <c r="A30" s="39">
        <f t="shared" si="11"/>
        <v>1.6000000000000008</v>
      </c>
      <c r="B30" s="44">
        <f t="shared" si="1"/>
        <v>0.67032004603563911</v>
      </c>
      <c r="C30" s="44">
        <f t="shared" si="2"/>
        <v>0.93844806444989493</v>
      </c>
      <c r="D30" s="44">
        <f t="shared" si="3"/>
        <v>0.99207366813274611</v>
      </c>
      <c r="E30" s="44">
        <f t="shared" si="4"/>
        <v>0.99922374862379293</v>
      </c>
      <c r="F30" s="44">
        <f t="shared" si="5"/>
        <v>0.99993875667289767</v>
      </c>
      <c r="G30" s="44">
        <f t="shared" si="6"/>
        <v>0.80879213541099881</v>
      </c>
      <c r="H30" s="44">
        <f t="shared" si="7"/>
        <v>0.95257740392850976</v>
      </c>
      <c r="I30" s="44">
        <f t="shared" si="8"/>
        <v>0.99858868985411331</v>
      </c>
      <c r="X30">
        <f t="shared" si="9"/>
        <v>1.5750000000000008</v>
      </c>
      <c r="Y30" s="56">
        <f t="shared" si="10"/>
        <v>1.6969232755333019E-2</v>
      </c>
    </row>
    <row r="31" spans="1:25">
      <c r="A31" s="39">
        <f t="shared" si="11"/>
        <v>1.7000000000000008</v>
      </c>
      <c r="B31" s="44">
        <f t="shared" si="1"/>
        <v>0.65376978512984718</v>
      </c>
      <c r="C31" s="44">
        <f t="shared" si="2"/>
        <v>0.93162194381003227</v>
      </c>
      <c r="D31" s="44">
        <f t="shared" si="3"/>
        <v>0.99066552752957171</v>
      </c>
      <c r="E31" s="44">
        <f t="shared" si="4"/>
        <v>0.99903003522317313</v>
      </c>
      <c r="F31" s="44">
        <f t="shared" si="5"/>
        <v>0.9999187641656182</v>
      </c>
      <c r="G31" s="44">
        <f t="shared" si="6"/>
        <v>0.79071762410514423</v>
      </c>
      <c r="H31" s="44">
        <f t="shared" si="7"/>
        <v>0.94512126827162179</v>
      </c>
      <c r="I31" s="44">
        <f t="shared" si="8"/>
        <v>0.99816535352798053</v>
      </c>
      <c r="X31">
        <f t="shared" si="9"/>
        <v>1.6750000000000009</v>
      </c>
      <c r="Y31" s="56">
        <f t="shared" si="10"/>
        <v>1.6550260905791925E-2</v>
      </c>
    </row>
    <row r="32" spans="1:25">
      <c r="A32" s="39">
        <f t="shared" si="11"/>
        <v>1.8000000000000009</v>
      </c>
      <c r="B32" s="44">
        <f t="shared" si="1"/>
        <v>0.63762815162177322</v>
      </c>
      <c r="C32" s="44">
        <f t="shared" si="2"/>
        <v>0.92456081985157124</v>
      </c>
      <c r="D32" s="44">
        <f t="shared" si="3"/>
        <v>0.98912067020327576</v>
      </c>
      <c r="E32" s="44">
        <f t="shared" si="4"/>
        <v>0.99880464775603151</v>
      </c>
      <c r="F32" s="44">
        <f t="shared" si="5"/>
        <v>0.99989409523071648</v>
      </c>
      <c r="G32" s="44">
        <f t="shared" si="6"/>
        <v>0.77248235350713812</v>
      </c>
      <c r="H32" s="44">
        <f t="shared" si="7"/>
        <v>0.93714306570208084</v>
      </c>
      <c r="I32" s="44">
        <f t="shared" si="8"/>
        <v>0.99765587743372242</v>
      </c>
      <c r="J32" s="73"/>
      <c r="X32">
        <f t="shared" si="9"/>
        <v>1.775000000000001</v>
      </c>
      <c r="Y32" s="56">
        <f t="shared" si="10"/>
        <v>1.614163350807396E-2</v>
      </c>
    </row>
    <row r="33" spans="1:25">
      <c r="A33" s="39">
        <f t="shared" si="11"/>
        <v>1.900000000000001</v>
      </c>
      <c r="B33" s="44">
        <f t="shared" si="1"/>
        <v>0.6218850564650199</v>
      </c>
      <c r="C33" s="44">
        <f t="shared" si="2"/>
        <v>0.91728045828590454</v>
      </c>
      <c r="D33" s="44">
        <f t="shared" si="3"/>
        <v>0.98743686621836468</v>
      </c>
      <c r="E33" s="44">
        <f t="shared" si="4"/>
        <v>0.99854496414100424</v>
      </c>
      <c r="F33" s="44">
        <f t="shared" si="5"/>
        <v>0.99986405076931761</v>
      </c>
      <c r="G33" s="44">
        <f t="shared" si="6"/>
        <v>0.75414499573627714</v>
      </c>
      <c r="H33" s="44">
        <f t="shared" si="7"/>
        <v>0.92866188257012094</v>
      </c>
      <c r="I33" s="44">
        <f t="shared" si="8"/>
        <v>0.99705068759813353</v>
      </c>
      <c r="X33">
        <f t="shared" si="9"/>
        <v>1.8750000000000011</v>
      </c>
      <c r="Y33" s="56">
        <f t="shared" si="10"/>
        <v>1.5743095156753317E-2</v>
      </c>
    </row>
    <row r="34" spans="1:25">
      <c r="A34" s="39">
        <f t="shared" si="11"/>
        <v>2.0000000000000009</v>
      </c>
      <c r="B34" s="44">
        <f t="shared" si="1"/>
        <v>0.60653065971263331</v>
      </c>
      <c r="C34" s="44">
        <f t="shared" si="2"/>
        <v>0.90979598956895014</v>
      </c>
      <c r="D34" s="44">
        <f t="shared" si="3"/>
        <v>0.98561232203302929</v>
      </c>
      <c r="E34" s="44">
        <f t="shared" si="4"/>
        <v>0.9982483774437092</v>
      </c>
      <c r="F34" s="44">
        <f t="shared" si="5"/>
        <v>0.99982788437004411</v>
      </c>
      <c r="G34" s="44">
        <f t="shared" si="6"/>
        <v>0.73575888234288456</v>
      </c>
      <c r="H34" s="44">
        <f t="shared" si="7"/>
        <v>0.91969860292860572</v>
      </c>
      <c r="I34" s="44">
        <f t="shared" si="8"/>
        <v>0.99634015317265623</v>
      </c>
      <c r="X34">
        <f t="shared" si="9"/>
        <v>1.975000000000001</v>
      </c>
      <c r="Y34" s="56">
        <f t="shared" si="10"/>
        <v>1.535439675238659E-2</v>
      </c>
    </row>
    <row r="35" spans="1:25">
      <c r="A35" s="39">
        <f t="shared" si="11"/>
        <v>2.100000000000001</v>
      </c>
      <c r="B35" s="44">
        <f t="shared" si="1"/>
        <v>0.591555364366815</v>
      </c>
      <c r="C35" s="44">
        <f t="shared" si="2"/>
        <v>0.90212193065939295</v>
      </c>
      <c r="D35" s="44">
        <f t="shared" si="3"/>
        <v>0.98364565431119466</v>
      </c>
      <c r="E35" s="44">
        <f t="shared" si="4"/>
        <v>0.99791230595026004</v>
      </c>
      <c r="F35" s="44">
        <f t="shared" si="5"/>
        <v>0.99978480397788727</v>
      </c>
      <c r="G35" s="44">
        <f t="shared" si="6"/>
        <v>0.71737238567786832</v>
      </c>
      <c r="H35" s="44">
        <f t="shared" si="7"/>
        <v>0.91027556987539282</v>
      </c>
      <c r="I35" s="44">
        <f t="shared" si="8"/>
        <v>0.995514664392674</v>
      </c>
      <c r="X35">
        <f t="shared" si="9"/>
        <v>2.0750000000000011</v>
      </c>
      <c r="Y35" s="56">
        <f t="shared" si="10"/>
        <v>1.4975295345818318E-2</v>
      </c>
    </row>
    <row r="36" spans="1:25">
      <c r="A36" s="39">
        <f t="shared" si="11"/>
        <v>2.2000000000000011</v>
      </c>
      <c r="B36" s="44">
        <f t="shared" si="1"/>
        <v>0.57694981038048654</v>
      </c>
      <c r="C36" s="44">
        <f t="shared" si="2"/>
        <v>0.89427220608975433</v>
      </c>
      <c r="D36" s="44">
        <f t="shared" si="3"/>
        <v>0.98153586490980294</v>
      </c>
      <c r="E36" s="44">
        <f t="shared" si="4"/>
        <v>0.99753420236014523</v>
      </c>
      <c r="F36" s="44">
        <f t="shared" si="5"/>
        <v>0.9997339737595673</v>
      </c>
      <c r="G36" s="44">
        <f t="shared" si="6"/>
        <v>0.69902927576596685</v>
      </c>
      <c r="H36" s="44">
        <f t="shared" si="7"/>
        <v>0.9004162814033051</v>
      </c>
      <c r="I36" s="44">
        <f t="shared" si="8"/>
        <v>0.99456470653876072</v>
      </c>
      <c r="X36">
        <f t="shared" si="9"/>
        <v>2.1750000000000012</v>
      </c>
      <c r="Y36" s="56">
        <f t="shared" si="10"/>
        <v>1.4605553986328457E-2</v>
      </c>
    </row>
    <row r="37" spans="1:25">
      <c r="A37" s="39">
        <f t="shared" si="11"/>
        <v>2.3000000000000012</v>
      </c>
      <c r="B37" s="44">
        <f t="shared" si="1"/>
        <v>0.56270486880695558</v>
      </c>
      <c r="C37" s="44">
        <f t="shared" si="2"/>
        <v>0.88626016837095511</v>
      </c>
      <c r="D37" s="44">
        <f t="shared" si="3"/>
        <v>0.97928231699560508</v>
      </c>
      <c r="E37" s="44">
        <f t="shared" si="4"/>
        <v>0.99711156214866292</v>
      </c>
      <c r="F37" s="44">
        <f t="shared" si="5"/>
        <v>0.99967451613941505</v>
      </c>
      <c r="G37" s="44">
        <f t="shared" si="6"/>
        <v>0.68076905416496403</v>
      </c>
      <c r="H37" s="44">
        <f t="shared" si="7"/>
        <v>0.89014511791686324</v>
      </c>
      <c r="I37" s="44">
        <f t="shared" si="8"/>
        <v>0.99348092938108179</v>
      </c>
      <c r="X37">
        <f t="shared" si="9"/>
        <v>2.2750000000000012</v>
      </c>
      <c r="Y37" s="56">
        <f t="shared" si="10"/>
        <v>1.4244941573530956E-2</v>
      </c>
    </row>
    <row r="38" spans="1:25">
      <c r="A38" s="39">
        <f t="shared" si="11"/>
        <v>2.4000000000000012</v>
      </c>
      <c r="B38" s="44">
        <f t="shared" si="1"/>
        <v>0.54881163609402628</v>
      </c>
      <c r="C38" s="44">
        <f t="shared" si="2"/>
        <v>0.87809861775044218</v>
      </c>
      <c r="D38" s="44">
        <f t="shared" si="3"/>
        <v>0.97688471224736706</v>
      </c>
      <c r="E38" s="44">
        <f t="shared" si="4"/>
        <v>0.99664193114675204</v>
      </c>
      <c r="F38" s="44">
        <f t="shared" si="5"/>
        <v>0.99960551398165975</v>
      </c>
      <c r="G38" s="44">
        <f t="shared" si="6"/>
        <v>0.66262726620684442</v>
      </c>
      <c r="H38" s="44">
        <f t="shared" si="7"/>
        <v>0.87948709878362996</v>
      </c>
      <c r="I38" s="44">
        <f t="shared" si="8"/>
        <v>0.99225421172355854</v>
      </c>
      <c r="X38">
        <f t="shared" si="9"/>
        <v>2.3750000000000013</v>
      </c>
      <c r="Y38" s="56">
        <f t="shared" si="10"/>
        <v>1.3893232712929304E-2</v>
      </c>
    </row>
    <row r="39" spans="1:25">
      <c r="A39" s="39">
        <f t="shared" si="11"/>
        <v>2.5000000000000013</v>
      </c>
      <c r="B39" s="44">
        <f t="shared" si="1"/>
        <v>0.53526142851899006</v>
      </c>
      <c r="C39" s="44">
        <f t="shared" si="2"/>
        <v>0.86979982134335909</v>
      </c>
      <c r="D39" s="44">
        <f t="shared" si="3"/>
        <v>0.97434306910097435</v>
      </c>
      <c r="E39" s="44">
        <f t="shared" si="4"/>
        <v>0.9961229123838109</v>
      </c>
      <c r="F39" s="44">
        <f t="shared" si="5"/>
        <v>0.99952601289675413</v>
      </c>
      <c r="G39" s="44">
        <f t="shared" si="6"/>
        <v>0.64463579293542739</v>
      </c>
      <c r="H39" s="44">
        <f t="shared" si="7"/>
        <v>0.86846766548245102</v>
      </c>
      <c r="I39" s="44">
        <f t="shared" si="8"/>
        <v>0.99087572078160469</v>
      </c>
      <c r="X39">
        <f t="shared" si="9"/>
        <v>2.4750000000000014</v>
      </c>
      <c r="Y39" s="56">
        <f t="shared" si="10"/>
        <v>1.3550207575036222E-2</v>
      </c>
    </row>
    <row r="40" spans="1:25">
      <c r="A40" s="39">
        <f t="shared" si="11"/>
        <v>2.6000000000000014</v>
      </c>
      <c r="B40" s="44">
        <f t="shared" si="1"/>
        <v>0.52204577676101593</v>
      </c>
      <c r="C40" s="44">
        <f t="shared" si="2"/>
        <v>0.86137553165567637</v>
      </c>
      <c r="D40" s="44">
        <f t="shared" si="3"/>
        <v>0.97165770199644108</v>
      </c>
      <c r="E40" s="44">
        <f t="shared" si="4"/>
        <v>0.99555217223694015</v>
      </c>
      <c r="F40" s="44">
        <f t="shared" si="5"/>
        <v>0.99943502365102121</v>
      </c>
      <c r="G40" s="44">
        <f t="shared" si="6"/>
        <v>0.6268231239782287</v>
      </c>
      <c r="H40" s="44">
        <f t="shared" si="7"/>
        <v>0.85711248909196946</v>
      </c>
      <c r="I40" s="44">
        <f t="shared" si="8"/>
        <v>0.98933696622810907</v>
      </c>
      <c r="X40">
        <f t="shared" si="9"/>
        <v>2.5750000000000015</v>
      </c>
      <c r="Y40" s="56">
        <f t="shared" si="10"/>
        <v>1.3215651757974123E-2</v>
      </c>
    </row>
    <row r="41" spans="1:25">
      <c r="A41" s="39">
        <f t="shared" si="11"/>
        <v>2.7000000000000015</v>
      </c>
      <c r="B41" s="44">
        <f t="shared" si="1"/>
        <v>0.50915642060754895</v>
      </c>
      <c r="C41" s="44">
        <f t="shared" si="2"/>
        <v>0.85283700451764466</v>
      </c>
      <c r="D41" s="44">
        <f t="shared" si="3"/>
        <v>0.96882920158730212</v>
      </c>
      <c r="E41" s="44">
        <f t="shared" si="4"/>
        <v>0.994927445927975</v>
      </c>
      <c r="F41" s="44">
        <f t="shared" si="5"/>
        <v>0.9993315246604636</v>
      </c>
      <c r="G41" s="44">
        <f t="shared" si="6"/>
        <v>0.60921461251784481</v>
      </c>
      <c r="H41" s="44">
        <f t="shared" si="7"/>
        <v>0.84544730003141344</v>
      </c>
      <c r="I41" s="44">
        <f t="shared" si="8"/>
        <v>0.9876298488286428</v>
      </c>
      <c r="X41">
        <f t="shared" si="9"/>
        <v>2.6750000000000016</v>
      </c>
      <c r="Y41" s="56">
        <f t="shared" si="10"/>
        <v>1.288935615346698E-2</v>
      </c>
    </row>
    <row r="42" spans="1:25">
      <c r="A42" s="39">
        <f t="shared" si="11"/>
        <v>2.8000000000000016</v>
      </c>
      <c r="B42" s="44">
        <f t="shared" si="1"/>
        <v>0.4965853037914093</v>
      </c>
      <c r="C42" s="44">
        <f t="shared" si="2"/>
        <v>0.84419501644539607</v>
      </c>
      <c r="D42" s="44">
        <f t="shared" si="3"/>
        <v>0.96585841587429144</v>
      </c>
      <c r="E42" s="44">
        <f t="shared" si="4"/>
        <v>0.99424654240770038</v>
      </c>
      <c r="F42" s="44">
        <f t="shared" si="5"/>
        <v>0.99921446455104701</v>
      </c>
      <c r="G42" s="44">
        <f t="shared" si="6"/>
        <v>0.59183271345985511</v>
      </c>
      <c r="H42" s="44">
        <f t="shared" si="7"/>
        <v>0.83349773812262962</v>
      </c>
      <c r="I42" s="44">
        <f t="shared" si="8"/>
        <v>0.98574670366017769</v>
      </c>
      <c r="X42">
        <f t="shared" si="9"/>
        <v>2.7750000000000017</v>
      </c>
      <c r="Y42" s="56">
        <f t="shared" si="10"/>
        <v>1.2571116816139649E-2</v>
      </c>
    </row>
    <row r="43" spans="1:25">
      <c r="A43" s="39">
        <f t="shared" si="11"/>
        <v>2.9000000000000017</v>
      </c>
      <c r="B43" s="44">
        <f t="shared" si="1"/>
        <v>0.48432456895536224</v>
      </c>
      <c r="C43" s="44">
        <f t="shared" si="2"/>
        <v>0.8354598814480001</v>
      </c>
      <c r="D43" s="44">
        <f t="shared" si="3"/>
        <v>0.96274643222658141</v>
      </c>
      <c r="E43" s="44">
        <f t="shared" si="4"/>
        <v>0.99350734866473855</v>
      </c>
      <c r="F43" s="44">
        <f t="shared" si="5"/>
        <v>0.99908276476915459</v>
      </c>
      <c r="G43" s="44">
        <f t="shared" si="6"/>
        <v>0.57469720582980388</v>
      </c>
      <c r="H43" s="44">
        <f t="shared" si="7"/>
        <v>0.82128922118840886</v>
      </c>
      <c r="I43" s="44">
        <f t="shared" si="8"/>
        <v>0.98368033796935683</v>
      </c>
      <c r="X43">
        <f t="shared" si="9"/>
        <v>2.8750000000000018</v>
      </c>
      <c r="Y43" s="56">
        <f t="shared" si="10"/>
        <v>1.226073483604706E-2</v>
      </c>
    </row>
    <row r="44" spans="1:25">
      <c r="A44" s="39">
        <f t="shared" si="11"/>
        <v>3.0000000000000018</v>
      </c>
      <c r="B44" s="44">
        <f t="shared" si="1"/>
        <v>0.47236655274101458</v>
      </c>
      <c r="C44" s="44">
        <f t="shared" si="2"/>
        <v>0.82664146729677557</v>
      </c>
      <c r="D44" s="44">
        <f t="shared" si="3"/>
        <v>0.95949456025518609</v>
      </c>
      <c r="E44" s="44">
        <f t="shared" si="4"/>
        <v>0.99270783349478875</v>
      </c>
      <c r="F44" s="44">
        <f t="shared" si="5"/>
        <v>0.99893532222721415</v>
      </c>
      <c r="G44" s="44">
        <f t="shared" si="6"/>
        <v>0.55782540037107409</v>
      </c>
      <c r="H44" s="44">
        <f t="shared" si="7"/>
        <v>0.80884683053805806</v>
      </c>
      <c r="I44" s="44">
        <f t="shared" si="8"/>
        <v>0.98142406377785929</v>
      </c>
      <c r="X44">
        <f t="shared" si="9"/>
        <v>2.9750000000000019</v>
      </c>
      <c r="Y44" s="56">
        <f t="shared" si="10"/>
        <v>1.1958016214347666E-2</v>
      </c>
    </row>
    <row r="45" spans="1:25">
      <c r="A45" s="39">
        <f t="shared" ref="A45:A54" si="12">A44+0.2</f>
        <v>3.200000000000002</v>
      </c>
      <c r="B45" s="44">
        <f t="shared" si="1"/>
        <v>0.44932896411722134</v>
      </c>
      <c r="C45" s="44">
        <f t="shared" si="2"/>
        <v>0.8087921354109987</v>
      </c>
      <c r="D45" s="44">
        <f t="shared" si="3"/>
        <v>0.95257740392850976</v>
      </c>
      <c r="E45" s="44">
        <f t="shared" si="4"/>
        <v>0.99092014219984603</v>
      </c>
      <c r="F45" s="44">
        <f t="shared" si="5"/>
        <v>0.99858868985411331</v>
      </c>
      <c r="G45" s="44">
        <f t="shared" si="6"/>
        <v>0.52493094678610386</v>
      </c>
      <c r="H45" s="44">
        <f t="shared" si="7"/>
        <v>0.78335848981926282</v>
      </c>
      <c r="I45" s="44">
        <f t="shared" si="8"/>
        <v>0.97631772195068822</v>
      </c>
      <c r="X45">
        <f t="shared" si="9"/>
        <v>3.175000000000002</v>
      </c>
      <c r="Y45" s="56">
        <f t="shared" si="10"/>
        <v>2.3037588623793237E-2</v>
      </c>
    </row>
    <row r="46" spans="1:25">
      <c r="A46" s="39">
        <f t="shared" si="12"/>
        <v>3.4000000000000021</v>
      </c>
      <c r="B46" s="44">
        <f t="shared" si="1"/>
        <v>0.42741493194872637</v>
      </c>
      <c r="C46" s="44">
        <f t="shared" si="2"/>
        <v>0.79071762410514423</v>
      </c>
      <c r="D46" s="44">
        <f t="shared" si="3"/>
        <v>0.94512126827162179</v>
      </c>
      <c r="E46" s="44">
        <f t="shared" si="4"/>
        <v>0.98886896745212383</v>
      </c>
      <c r="F46" s="44">
        <f t="shared" si="5"/>
        <v>0.99816535352798053</v>
      </c>
      <c r="G46" s="44">
        <f t="shared" si="6"/>
        <v>0.493245514942383</v>
      </c>
      <c r="H46" s="44">
        <f t="shared" si="7"/>
        <v>0.75722320719858482</v>
      </c>
      <c r="I46" s="44">
        <f t="shared" si="8"/>
        <v>0.97038519369546783</v>
      </c>
      <c r="X46">
        <f t="shared" si="9"/>
        <v>3.3750000000000022</v>
      </c>
      <c r="Y46" s="56">
        <f t="shared" si="10"/>
        <v>2.1914032168494968E-2</v>
      </c>
    </row>
    <row r="47" spans="1:25">
      <c r="A47" s="39">
        <f t="shared" si="12"/>
        <v>3.6000000000000023</v>
      </c>
      <c r="B47" s="44">
        <f t="shared" si="1"/>
        <v>0.40656965974059889</v>
      </c>
      <c r="C47" s="44">
        <f t="shared" si="2"/>
        <v>0.77248235350713812</v>
      </c>
      <c r="D47" s="44">
        <f t="shared" si="3"/>
        <v>0.93714306570208084</v>
      </c>
      <c r="E47" s="44">
        <f t="shared" si="4"/>
        <v>0.98654127936056368</v>
      </c>
      <c r="F47" s="44">
        <f t="shared" si="5"/>
        <v>0.99765587743372242</v>
      </c>
      <c r="G47" s="44">
        <f t="shared" si="6"/>
        <v>0.4628368870204419</v>
      </c>
      <c r="H47" s="44">
        <f t="shared" si="7"/>
        <v>0.73062108593941211</v>
      </c>
      <c r="I47" s="44">
        <f t="shared" si="8"/>
        <v>0.96359333899891653</v>
      </c>
      <c r="X47">
        <f t="shared" si="9"/>
        <v>3.5750000000000024</v>
      </c>
      <c r="Y47" s="56">
        <f t="shared" si="10"/>
        <v>2.0845272208127485E-2</v>
      </c>
    </row>
    <row r="48" spans="1:25">
      <c r="A48" s="39">
        <f t="shared" si="12"/>
        <v>3.8000000000000025</v>
      </c>
      <c r="B48" s="44">
        <f t="shared" si="1"/>
        <v>0.38674102345450101</v>
      </c>
      <c r="C48" s="44">
        <f t="shared" si="2"/>
        <v>0.75414499573627714</v>
      </c>
      <c r="D48" s="44">
        <f t="shared" si="3"/>
        <v>0.92866188257012094</v>
      </c>
      <c r="E48" s="44">
        <f t="shared" si="4"/>
        <v>0.98392556340083814</v>
      </c>
      <c r="F48" s="44">
        <f t="shared" si="5"/>
        <v>0.99705068759813353</v>
      </c>
      <c r="G48" s="44">
        <f t="shared" si="6"/>
        <v>0.4337489957456413</v>
      </c>
      <c r="H48" s="44">
        <f t="shared" si="7"/>
        <v>0.70372035344249739</v>
      </c>
      <c r="I48" s="44">
        <f t="shared" si="8"/>
        <v>0.95591859675764446</v>
      </c>
      <c r="X48">
        <f t="shared" si="9"/>
        <v>3.7750000000000026</v>
      </c>
      <c r="Y48" s="56">
        <f t="shared" si="10"/>
        <v>1.9828636286097878E-2</v>
      </c>
    </row>
    <row r="49" spans="1:25">
      <c r="A49" s="39">
        <f t="shared" si="12"/>
        <v>4.0000000000000027</v>
      </c>
      <c r="B49" s="44">
        <f t="shared" si="1"/>
        <v>0.36787944117144211</v>
      </c>
      <c r="C49" s="44">
        <f t="shared" si="2"/>
        <v>0.73575888234288445</v>
      </c>
      <c r="D49" s="44">
        <f t="shared" si="3"/>
        <v>0.91969860292860572</v>
      </c>
      <c r="E49" s="44">
        <f t="shared" si="4"/>
        <v>0.98101184312384615</v>
      </c>
      <c r="F49" s="44">
        <f t="shared" si="5"/>
        <v>0.99634015317265623</v>
      </c>
      <c r="G49" s="44">
        <f t="shared" si="6"/>
        <v>0.40600584970983777</v>
      </c>
      <c r="H49" s="44">
        <f t="shared" si="7"/>
        <v>0.67667641618306296</v>
      </c>
      <c r="I49" s="44">
        <f t="shared" si="8"/>
        <v>0.94734698265628869</v>
      </c>
      <c r="X49">
        <f t="shared" si="9"/>
        <v>3.9750000000000028</v>
      </c>
      <c r="Y49" s="56">
        <f t="shared" si="10"/>
        <v>1.8861582283058898E-2</v>
      </c>
    </row>
    <row r="50" spans="1:25">
      <c r="A50" s="39">
        <f t="shared" si="12"/>
        <v>4.2000000000000028</v>
      </c>
      <c r="B50" s="44">
        <f t="shared" si="1"/>
        <v>0.34993774911115505</v>
      </c>
      <c r="C50" s="44">
        <f t="shared" si="2"/>
        <v>0.71737238567786821</v>
      </c>
      <c r="D50" s="44">
        <f t="shared" si="3"/>
        <v>0.91027556987539282</v>
      </c>
      <c r="E50" s="44">
        <f t="shared" si="4"/>
        <v>0.97779168434452635</v>
      </c>
      <c r="F50" s="44">
        <f t="shared" si="5"/>
        <v>0.99551466439267389</v>
      </c>
      <c r="G50" s="44">
        <f t="shared" si="6"/>
        <v>0.37961492758424353</v>
      </c>
      <c r="H50" s="44">
        <f t="shared" si="7"/>
        <v>0.64963135188206844</v>
      </c>
      <c r="I50" s="44">
        <f t="shared" si="8"/>
        <v>0.93787388481999712</v>
      </c>
      <c r="X50">
        <f t="shared" si="9"/>
        <v>4.1750000000000025</v>
      </c>
      <c r="Y50" s="56">
        <f t="shared" si="10"/>
        <v>1.7941692060287062E-2</v>
      </c>
    </row>
    <row r="51" spans="1:25">
      <c r="A51" s="39">
        <f t="shared" si="12"/>
        <v>4.400000000000003</v>
      </c>
      <c r="B51" s="44">
        <f t="shared" si="1"/>
        <v>0.33287108369807927</v>
      </c>
      <c r="C51" s="44">
        <f t="shared" si="2"/>
        <v>0.69902927576596685</v>
      </c>
      <c r="D51" s="44">
        <f t="shared" si="3"/>
        <v>0.90041628140330499</v>
      </c>
      <c r="E51" s="44">
        <f t="shared" si="4"/>
        <v>0.97425818347032911</v>
      </c>
      <c r="F51" s="44">
        <f t="shared" si="5"/>
        <v>0.99456470653876072</v>
      </c>
      <c r="G51" s="44">
        <f t="shared" si="6"/>
        <v>0.35457010675946798</v>
      </c>
      <c r="H51" s="44">
        <f t="shared" si="7"/>
        <v>0.62271374999631601</v>
      </c>
      <c r="I51" s="44">
        <f t="shared" si="8"/>
        <v>0.92750369114220022</v>
      </c>
      <c r="X51">
        <f t="shared" si="9"/>
        <v>4.3750000000000027</v>
      </c>
      <c r="Y51" s="56">
        <f t="shared" si="10"/>
        <v>1.7066665413075777E-2</v>
      </c>
    </row>
    <row r="52" spans="1:25">
      <c r="A52" s="39">
        <f t="shared" si="12"/>
        <v>4.6000000000000032</v>
      </c>
      <c r="B52" s="44">
        <f t="shared" si="1"/>
        <v>0.31663676937905294</v>
      </c>
      <c r="C52" s="44">
        <f t="shared" si="2"/>
        <v>0.68076905416496403</v>
      </c>
      <c r="D52" s="44">
        <f t="shared" si="3"/>
        <v>0.89014511791686313</v>
      </c>
      <c r="E52" s="44">
        <f t="shared" si="4"/>
        <v>0.97040594235509126</v>
      </c>
      <c r="F52" s="44">
        <f t="shared" si="5"/>
        <v>0.99348092938108179</v>
      </c>
      <c r="G52" s="44">
        <f t="shared" si="6"/>
        <v>0.33085418428525193</v>
      </c>
      <c r="H52" s="44">
        <f t="shared" si="7"/>
        <v>0.5960388259320677</v>
      </c>
      <c r="I52" s="44">
        <f t="shared" si="8"/>
        <v>0.91624928072059819</v>
      </c>
      <c r="X52">
        <f t="shared" si="9"/>
        <v>4.5750000000000028</v>
      </c>
      <c r="Y52" s="56">
        <f t="shared" si="10"/>
        <v>1.6234314319026333E-2</v>
      </c>
    </row>
    <row r="53" spans="1:25">
      <c r="A53" s="39">
        <f t="shared" si="12"/>
        <v>4.8000000000000034</v>
      </c>
      <c r="B53" s="44">
        <f t="shared" si="1"/>
        <v>0.30119421191220186</v>
      </c>
      <c r="C53" s="44">
        <f t="shared" si="2"/>
        <v>0.6626272662068442</v>
      </c>
      <c r="D53" s="44">
        <f t="shared" si="3"/>
        <v>0.87948709878362996</v>
      </c>
      <c r="E53" s="44">
        <f t="shared" si="4"/>
        <v>0.96623103181434422</v>
      </c>
      <c r="F53" s="44">
        <f t="shared" si="5"/>
        <v>0.99225421172355854</v>
      </c>
      <c r="G53" s="44">
        <f t="shared" si="6"/>
        <v>0.30844104118400217</v>
      </c>
      <c r="H53" s="44">
        <f t="shared" si="7"/>
        <v>0.56970874665751015</v>
      </c>
      <c r="I53" s="44">
        <f t="shared" si="8"/>
        <v>0.9041314096636005</v>
      </c>
      <c r="X53">
        <f t="shared" si="9"/>
        <v>4.775000000000003</v>
      </c>
      <c r="Y53" s="56">
        <f t="shared" si="10"/>
        <v>1.5442557466851081E-2</v>
      </c>
    </row>
    <row r="54" spans="1:25">
      <c r="A54" s="39">
        <f t="shared" si="12"/>
        <v>5.0000000000000036</v>
      </c>
      <c r="B54" s="44">
        <f t="shared" si="1"/>
        <v>0.28650479686018993</v>
      </c>
      <c r="C54" s="44">
        <f t="shared" si="2"/>
        <v>0.64463579293542728</v>
      </c>
      <c r="D54" s="44">
        <f t="shared" si="3"/>
        <v>0.86846766548245091</v>
      </c>
      <c r="E54" s="44">
        <f t="shared" si="4"/>
        <v>0.96173094571037765</v>
      </c>
      <c r="F54" s="44">
        <f t="shared" si="5"/>
        <v>0.99087572078160469</v>
      </c>
      <c r="G54" s="44">
        <f t="shared" si="6"/>
        <v>0.28729749518364534</v>
      </c>
      <c r="H54" s="44">
        <f t="shared" si="7"/>
        <v>0.54381311588332926</v>
      </c>
      <c r="I54" s="44">
        <f t="shared" si="8"/>
        <v>0.89117801891415105</v>
      </c>
      <c r="X54">
        <f t="shared" si="9"/>
        <v>4.9750000000000032</v>
      </c>
      <c r="Y54" s="56">
        <f t="shared" si="10"/>
        <v>1.4689415052011934E-2</v>
      </c>
    </row>
    <row r="55" spans="1:25">
      <c r="A55" s="39">
        <f>A54+0.5</f>
        <v>5.5000000000000036</v>
      </c>
      <c r="B55" s="44">
        <f t="shared" si="1"/>
        <v>0.25283959580474624</v>
      </c>
      <c r="C55" s="44">
        <f t="shared" si="2"/>
        <v>0.60049404003627238</v>
      </c>
      <c r="D55" s="44">
        <f t="shared" si="3"/>
        <v>0.83950647044544702</v>
      </c>
      <c r="E55" s="44">
        <f t="shared" si="4"/>
        <v>0.94905383438298552</v>
      </c>
      <c r="F55" s="44">
        <f t="shared" si="5"/>
        <v>0.98671074073651432</v>
      </c>
      <c r="G55" s="44">
        <f t="shared" si="6"/>
        <v>0.23972947952515311</v>
      </c>
      <c r="H55" s="44">
        <f t="shared" si="7"/>
        <v>0.48145670471301594</v>
      </c>
      <c r="I55" s="44">
        <f t="shared" si="8"/>
        <v>0.85537850617549183</v>
      </c>
      <c r="X55">
        <f t="shared" si="9"/>
        <v>5.4750000000000032</v>
      </c>
      <c r="Y55" s="56">
        <f t="shared" si="10"/>
        <v>3.3665201055443683E-2</v>
      </c>
    </row>
    <row r="56" spans="1:25">
      <c r="A56" s="39">
        <f>A55+0.5</f>
        <v>6.0000000000000036</v>
      </c>
      <c r="B56" s="44">
        <f t="shared" si="1"/>
        <v>0.22313016014842968</v>
      </c>
      <c r="C56" s="44">
        <f t="shared" si="2"/>
        <v>0.55782540037107409</v>
      </c>
      <c r="D56" s="44">
        <f t="shared" si="3"/>
        <v>0.80884683053805806</v>
      </c>
      <c r="E56" s="44">
        <f t="shared" si="4"/>
        <v>0.93435754562154982</v>
      </c>
      <c r="F56" s="44">
        <f t="shared" si="5"/>
        <v>0.98142406377785929</v>
      </c>
      <c r="G56" s="44">
        <f t="shared" si="6"/>
        <v>0.19914827347145547</v>
      </c>
      <c r="H56" s="44">
        <f t="shared" si="7"/>
        <v>0.42319008112684309</v>
      </c>
      <c r="I56" s="44">
        <f t="shared" si="8"/>
        <v>0.81526324452377175</v>
      </c>
      <c r="X56">
        <f t="shared" si="9"/>
        <v>5.9750000000000032</v>
      </c>
      <c r="Y56" s="56">
        <f t="shared" si="10"/>
        <v>2.9709435656316563E-2</v>
      </c>
    </row>
    <row r="57" spans="1:25">
      <c r="A57" s="39">
        <f>A56+0.5</f>
        <v>6.5000000000000036</v>
      </c>
      <c r="B57" s="44">
        <f t="shared" si="1"/>
        <v>0.19691167520419384</v>
      </c>
      <c r="C57" s="44">
        <f t="shared" si="2"/>
        <v>0.516893147411009</v>
      </c>
      <c r="D57" s="44">
        <f t="shared" si="3"/>
        <v>0.77687809357904658</v>
      </c>
      <c r="E57" s="44">
        <f t="shared" si="4"/>
        <v>0.91770327275340036</v>
      </c>
      <c r="F57" s="44">
        <f t="shared" si="5"/>
        <v>0.97491350179298164</v>
      </c>
      <c r="G57" s="44">
        <f t="shared" si="6"/>
        <v>0.16479038328481832</v>
      </c>
      <c r="H57" s="44">
        <f t="shared" si="7"/>
        <v>0.36956666839610008</v>
      </c>
      <c r="I57" s="44">
        <f t="shared" si="8"/>
        <v>0.77165343655731511</v>
      </c>
      <c r="X57">
        <f t="shared" si="9"/>
        <v>6.4750000000000032</v>
      </c>
      <c r="Y57" s="56">
        <f t="shared" si="10"/>
        <v>2.6218484944235843E-2</v>
      </c>
    </row>
    <row r="58" spans="1:25">
      <c r="A58" s="39">
        <f t="shared" ref="A58:A76" si="13">A57+0.5</f>
        <v>7.0000000000000036</v>
      </c>
      <c r="B58" s="44">
        <f t="shared" si="1"/>
        <v>0.17377394345044495</v>
      </c>
      <c r="C58" s="44">
        <f t="shared" si="2"/>
        <v>0.47787834448872368</v>
      </c>
      <c r="D58" s="44">
        <f t="shared" si="3"/>
        <v>0.74396969539721791</v>
      </c>
      <c r="E58" s="44">
        <f t="shared" si="4"/>
        <v>0.89918965009383955</v>
      </c>
      <c r="F58" s="44">
        <f t="shared" si="5"/>
        <v>0.96709838027361161</v>
      </c>
      <c r="G58" s="44">
        <f t="shared" si="6"/>
        <v>0.1358882254004331</v>
      </c>
      <c r="H58" s="44">
        <f t="shared" si="7"/>
        <v>0.32084719886213375</v>
      </c>
      <c r="I58" s="44">
        <f t="shared" si="8"/>
        <v>0.72544495330960423</v>
      </c>
      <c r="X58">
        <f t="shared" si="9"/>
        <v>6.9750000000000032</v>
      </c>
      <c r="Y58" s="56">
        <f t="shared" si="10"/>
        <v>2.3137731753748891E-2</v>
      </c>
    </row>
    <row r="59" spans="1:25">
      <c r="A59" s="39">
        <f t="shared" si="13"/>
        <v>7.5000000000000036</v>
      </c>
      <c r="B59" s="44">
        <f t="shared" si="1"/>
        <v>0.15335496684492833</v>
      </c>
      <c r="C59" s="44">
        <f t="shared" si="2"/>
        <v>0.44089552967916901</v>
      </c>
      <c r="D59" s="44">
        <f t="shared" si="3"/>
        <v>0.71046480733626982</v>
      </c>
      <c r="E59" s="44">
        <f t="shared" si="4"/>
        <v>0.87894560587195802</v>
      </c>
      <c r="F59" s="44">
        <f t="shared" si="5"/>
        <v>0.95792098018556182</v>
      </c>
      <c r="G59" s="44">
        <f t="shared" si="6"/>
        <v>0.11170929281604303</v>
      </c>
      <c r="H59" s="44">
        <f t="shared" si="7"/>
        <v>0.27706844336610703</v>
      </c>
      <c r="I59" s="44">
        <f t="shared" si="8"/>
        <v>0.67754763610454316</v>
      </c>
      <c r="X59">
        <f t="shared" si="9"/>
        <v>7.4750000000000032</v>
      </c>
      <c r="Y59" s="56">
        <f t="shared" si="10"/>
        <v>2.0418976605516614E-2</v>
      </c>
    </row>
    <row r="60" spans="1:25">
      <c r="A60" s="39">
        <f t="shared" si="13"/>
        <v>8.0000000000000036</v>
      </c>
      <c r="B60" s="44">
        <f t="shared" si="1"/>
        <v>0.13533528323661259</v>
      </c>
      <c r="C60" s="44">
        <f t="shared" si="2"/>
        <v>0.40600584970983777</v>
      </c>
      <c r="D60" s="44">
        <f t="shared" si="3"/>
        <v>0.67667641618306318</v>
      </c>
      <c r="E60" s="44">
        <f t="shared" si="4"/>
        <v>0.85712346049854682</v>
      </c>
      <c r="F60" s="44">
        <f t="shared" si="5"/>
        <v>0.94734698265628881</v>
      </c>
      <c r="G60" s="44">
        <f t="shared" si="6"/>
        <v>9.1578194443670768E-2</v>
      </c>
      <c r="H60" s="44">
        <f t="shared" si="7"/>
        <v>0.23810330555354409</v>
      </c>
      <c r="I60" s="44">
        <f t="shared" si="8"/>
        <v>0.62883693517987316</v>
      </c>
      <c r="X60">
        <f t="shared" si="9"/>
        <v>7.9750000000000032</v>
      </c>
      <c r="Y60" s="56">
        <f t="shared" si="10"/>
        <v>1.801968360831574E-2</v>
      </c>
    </row>
    <row r="61" spans="1:25">
      <c r="A61" s="39">
        <f t="shared" si="13"/>
        <v>8.5000000000000036</v>
      </c>
      <c r="B61" s="44">
        <f t="shared" si="1"/>
        <v>0.11943296826671945</v>
      </c>
      <c r="C61" s="44">
        <f t="shared" si="2"/>
        <v>0.37322802583349857</v>
      </c>
      <c r="D61" s="44">
        <f t="shared" si="3"/>
        <v>0.64288527449820143</v>
      </c>
      <c r="E61" s="44">
        <f t="shared" si="4"/>
        <v>0.83389249230236606</v>
      </c>
      <c r="F61" s="44">
        <f t="shared" si="5"/>
        <v>0.93536507676082858</v>
      </c>
      <c r="G61" s="44">
        <f t="shared" si="6"/>
        <v>7.4887228022246011E-2</v>
      </c>
      <c r="H61" s="44">
        <f t="shared" si="7"/>
        <v>0.20371109051289538</v>
      </c>
      <c r="I61" s="44">
        <f t="shared" si="8"/>
        <v>0.58011831372776179</v>
      </c>
      <c r="X61">
        <f t="shared" si="9"/>
        <v>8.4750000000000032</v>
      </c>
      <c r="Y61" s="56">
        <f t="shared" si="10"/>
        <v>1.5902314969893139E-2</v>
      </c>
    </row>
    <row r="62" spans="1:25">
      <c r="A62" s="39">
        <f t="shared" si="13"/>
        <v>9.0000000000000036</v>
      </c>
      <c r="B62" s="44">
        <f t="shared" si="1"/>
        <v>0.10539922456186424</v>
      </c>
      <c r="C62" s="44">
        <f t="shared" si="2"/>
        <v>0.34254747982605882</v>
      </c>
      <c r="D62" s="44">
        <f t="shared" si="3"/>
        <v>0.6093392669982779</v>
      </c>
      <c r="E62" s="44">
        <f t="shared" si="4"/>
        <v>0.80943310737744223</v>
      </c>
      <c r="F62" s="44">
        <f t="shared" si="5"/>
        <v>0.92198589259072239</v>
      </c>
      <c r="G62" s="44">
        <f t="shared" si="6"/>
        <v>6.1099480960332575E-2</v>
      </c>
      <c r="H62" s="44">
        <f t="shared" si="7"/>
        <v>0.17357807091003585</v>
      </c>
      <c r="I62" s="44">
        <f t="shared" si="8"/>
        <v>0.53210357637471495</v>
      </c>
      <c r="X62">
        <f t="shared" si="9"/>
        <v>8.9750000000000032</v>
      </c>
      <c r="Y62" s="56">
        <f t="shared" si="10"/>
        <v>1.4033743704855217E-2</v>
      </c>
    </row>
    <row r="63" spans="1:25">
      <c r="A63" s="39">
        <f t="shared" si="13"/>
        <v>9.5000000000000036</v>
      </c>
      <c r="B63" s="44">
        <f t="shared" si="1"/>
        <v>9.3014489210663465E-2</v>
      </c>
      <c r="C63" s="44">
        <f t="shared" si="2"/>
        <v>0.31392390108598911</v>
      </c>
      <c r="D63" s="44">
        <f t="shared" si="3"/>
        <v>0.57625382768793854</v>
      </c>
      <c r="E63" s="44">
        <f t="shared" si="4"/>
        <v>0.78393168624781506</v>
      </c>
      <c r="F63" s="44">
        <f t="shared" si="5"/>
        <v>0.90724041476774175</v>
      </c>
      <c r="G63" s="44">
        <f t="shared" si="6"/>
        <v>4.9747247417943563E-2</v>
      </c>
      <c r="H63" s="44">
        <f t="shared" si="7"/>
        <v>0.14734918392814811</v>
      </c>
      <c r="I63" s="44">
        <f t="shared" si="8"/>
        <v>0.48539755777859639</v>
      </c>
      <c r="X63">
        <f t="shared" si="9"/>
        <v>9.4750000000000032</v>
      </c>
      <c r="Y63" s="56">
        <f t="shared" si="10"/>
        <v>1.2384735351200771E-2</v>
      </c>
    </row>
    <row r="64" spans="1:25">
      <c r="A64" s="39">
        <f t="shared" si="13"/>
        <v>10.000000000000004</v>
      </c>
      <c r="B64" s="44">
        <f t="shared" si="1"/>
        <v>8.2084998623898731E-2</v>
      </c>
      <c r="C64" s="44">
        <f t="shared" si="2"/>
        <v>0.28729749518364556</v>
      </c>
      <c r="D64" s="44">
        <f t="shared" si="3"/>
        <v>0.54381311588332948</v>
      </c>
      <c r="E64" s="44">
        <f t="shared" si="4"/>
        <v>0.75757613313306571</v>
      </c>
      <c r="F64" s="44">
        <f t="shared" si="5"/>
        <v>0.89117801891415116</v>
      </c>
      <c r="G64" s="44">
        <f t="shared" si="6"/>
        <v>4.0427681994512743E-2</v>
      </c>
      <c r="H64" s="44">
        <f t="shared" si="7"/>
        <v>0.12465201948308091</v>
      </c>
      <c r="I64" s="44">
        <f t="shared" si="8"/>
        <v>0.44049328506521213</v>
      </c>
      <c r="X64">
        <f t="shared" si="9"/>
        <v>9.9750000000000032</v>
      </c>
      <c r="Y64" s="56">
        <f t="shared" si="10"/>
        <v>1.0929490586764734E-2</v>
      </c>
    </row>
    <row r="65" spans="1:25">
      <c r="A65" s="39">
        <f t="shared" si="13"/>
        <v>10.500000000000004</v>
      </c>
      <c r="B65" s="44">
        <f t="shared" si="1"/>
        <v>7.2439757034251429E-2</v>
      </c>
      <c r="C65" s="44">
        <f t="shared" si="2"/>
        <v>0.26259411924916143</v>
      </c>
      <c r="D65" s="44">
        <f t="shared" si="3"/>
        <v>0.51217171965623087</v>
      </c>
      <c r="E65" s="44">
        <f t="shared" si="4"/>
        <v>0.73055212001241665</v>
      </c>
      <c r="F65" s="44">
        <f t="shared" si="5"/>
        <v>0.87386425774616372</v>
      </c>
      <c r="G65" s="44">
        <f t="shared" si="6"/>
        <v>3.2796989994883674E-2</v>
      </c>
      <c r="H65" s="44">
        <f t="shared" si="7"/>
        <v>0.10511435293360205</v>
      </c>
      <c r="I65" s="44">
        <f t="shared" si="8"/>
        <v>0.39777368107622801</v>
      </c>
      <c r="X65">
        <f t="shared" si="9"/>
        <v>10.475000000000003</v>
      </c>
      <c r="Y65" s="56">
        <f t="shared" si="10"/>
        <v>9.645241589647302E-3</v>
      </c>
    </row>
    <row r="66" spans="1:25">
      <c r="A66" s="39">
        <f t="shared" si="13"/>
        <v>11.000000000000004</v>
      </c>
      <c r="B66" s="44">
        <f t="shared" si="1"/>
        <v>6.392786120670757E-2</v>
      </c>
      <c r="C66" s="44">
        <f t="shared" si="2"/>
        <v>0.23972947952515322</v>
      </c>
      <c r="D66" s="44">
        <f t="shared" si="3"/>
        <v>0.48145670471301638</v>
      </c>
      <c r="E66" s="44">
        <f t="shared" si="4"/>
        <v>0.70303999446855725</v>
      </c>
      <c r="F66" s="44">
        <f t="shared" si="5"/>
        <v>0.85537850617549194</v>
      </c>
      <c r="G66" s="44">
        <f t="shared" si="6"/>
        <v>2.6564014350016318E-2</v>
      </c>
      <c r="H66" s="44">
        <f t="shared" si="7"/>
        <v>8.8376432356785273E-2</v>
      </c>
      <c r="I66" s="44">
        <f t="shared" si="8"/>
        <v>0.3575180024279252</v>
      </c>
      <c r="X66">
        <f t="shared" si="9"/>
        <v>10.975000000000003</v>
      </c>
      <c r="Y66" s="56">
        <f t="shared" si="10"/>
        <v>8.5118958275438583E-3</v>
      </c>
    </row>
    <row r="67" spans="1:25">
      <c r="A67" s="39">
        <f t="shared" si="13"/>
        <v>11.500000000000004</v>
      </c>
      <c r="B67" s="44">
        <f t="shared" si="1"/>
        <v>5.6416139503777329E-2</v>
      </c>
      <c r="C67" s="44">
        <f t="shared" si="2"/>
        <v>0.21861254057713708</v>
      </c>
      <c r="D67" s="44">
        <f t="shared" si="3"/>
        <v>0.45176986712009193</v>
      </c>
      <c r="E67" s="44">
        <f t="shared" si="4"/>
        <v>0.67521230505709018</v>
      </c>
      <c r="F67" s="44">
        <f t="shared" si="5"/>
        <v>0.8358115573243079</v>
      </c>
      <c r="G67" s="44">
        <f t="shared" si="6"/>
        <v>2.1483770376440225E-2</v>
      </c>
      <c r="H67" s="44">
        <f t="shared" si="7"/>
        <v>7.4099115418740591E-2</v>
      </c>
      <c r="I67" s="44">
        <f t="shared" si="8"/>
        <v>0.31991143053823778</v>
      </c>
      <c r="X67">
        <f t="shared" si="9"/>
        <v>11.475000000000003</v>
      </c>
      <c r="Y67" s="56">
        <f t="shared" si="10"/>
        <v>7.5117217029302408E-3</v>
      </c>
    </row>
    <row r="68" spans="1:25">
      <c r="A68" s="39">
        <f t="shared" si="13"/>
        <v>12.000000000000004</v>
      </c>
      <c r="B68" s="44">
        <f t="shared" si="1"/>
        <v>4.978706836786384E-2</v>
      </c>
      <c r="C68" s="44">
        <f t="shared" si="2"/>
        <v>0.19914827347145558</v>
      </c>
      <c r="D68" s="44">
        <f t="shared" si="3"/>
        <v>0.42319008112684331</v>
      </c>
      <c r="E68" s="44">
        <f t="shared" si="4"/>
        <v>0.64723188878223104</v>
      </c>
      <c r="F68" s="44">
        <f t="shared" si="5"/>
        <v>0.81526324452377186</v>
      </c>
      <c r="G68" s="44">
        <f t="shared" si="6"/>
        <v>1.7351265236664526E-2</v>
      </c>
      <c r="H68" s="44">
        <f t="shared" si="7"/>
        <v>6.1968804416658863E-2</v>
      </c>
      <c r="I68" s="44">
        <f t="shared" si="8"/>
        <v>0.28505650031663099</v>
      </c>
      <c r="X68">
        <f t="shared" si="9"/>
        <v>11.975000000000003</v>
      </c>
      <c r="Y68" s="56">
        <f t="shared" si="10"/>
        <v>6.6290711359134891E-3</v>
      </c>
    </row>
    <row r="69" spans="1:25">
      <c r="A69" s="39">
        <f t="shared" si="13"/>
        <v>12.500000000000004</v>
      </c>
      <c r="B69" s="44">
        <f t="shared" si="1"/>
        <v>4.3936933623407337E-2</v>
      </c>
      <c r="C69" s="44">
        <f t="shared" si="2"/>
        <v>0.1812398511965555</v>
      </c>
      <c r="D69" s="44">
        <f t="shared" si="3"/>
        <v>0.3957756599045994</v>
      </c>
      <c r="E69" s="44">
        <f t="shared" si="4"/>
        <v>0.61925046064214517</v>
      </c>
      <c r="F69" s="44">
        <f t="shared" si="5"/>
        <v>0.79384014871835307</v>
      </c>
      <c r="G69" s="44">
        <f t="shared" si="6"/>
        <v>1.3995792487650816E-2</v>
      </c>
      <c r="H69" s="44">
        <f t="shared" si="7"/>
        <v>5.1699974835848206E-2</v>
      </c>
      <c r="I69" s="44">
        <f t="shared" si="8"/>
        <v>0.25298532330929802</v>
      </c>
      <c r="X69">
        <f t="shared" si="9"/>
        <v>12.475000000000003</v>
      </c>
      <c r="Y69" s="56">
        <f t="shared" si="10"/>
        <v>5.8501347444565033E-3</v>
      </c>
    </row>
    <row r="70" spans="1:25">
      <c r="A70" s="39">
        <f t="shared" si="13"/>
        <v>13.000000000000004</v>
      </c>
      <c r="B70" s="44">
        <f t="shared" ref="B70:B84" si="14">1-GAMMADIST(A70,1,4,1)</f>
        <v>3.8774207831721919E-2</v>
      </c>
      <c r="C70" s="44">
        <f t="shared" ref="C70:C84" si="15">1-GAMMADIST($A70,2,4,1)</f>
        <v>0.16479038328481843</v>
      </c>
      <c r="D70" s="44">
        <f t="shared" ref="D70:D84" si="16">1-GAMMADIST($A70,3,4,1)</f>
        <v>0.3695666683961002</v>
      </c>
      <c r="E70" s="44">
        <f t="shared" ref="E70:E84" si="17">1-GAMMADIST($A70,4,4,1)</f>
        <v>0.59140764393332224</v>
      </c>
      <c r="F70" s="44">
        <f t="shared" ref="F70:F84" si="18">1-GAMMADIST($A70,5,4,1)</f>
        <v>0.77165343655731522</v>
      </c>
      <c r="G70" s="44">
        <f t="shared" ref="G70:G84" si="19">1-GAMMADIST($A70,2,2,1)</f>
        <v>1.1275793947331803E-2</v>
      </c>
      <c r="H70" s="44">
        <f t="shared" ref="H70:H84" si="20">1-GAMMADIST($A70,3,2,1)</f>
        <v>4.3035946898982935E-2</v>
      </c>
      <c r="I70" s="44">
        <f t="shared" ref="I70:I84" si="21">1-GAMMADIST($A70,5,2,1)</f>
        <v>0.22367181681149906</v>
      </c>
      <c r="X70">
        <f t="shared" ref="X70:X83" si="22">A70-0.025</f>
        <v>12.975000000000003</v>
      </c>
      <c r="Y70" s="56">
        <f t="shared" si="10"/>
        <v>5.1627257916854186E-3</v>
      </c>
    </row>
    <row r="71" spans="1:25">
      <c r="A71" s="39">
        <f t="shared" si="13"/>
        <v>13.500000000000004</v>
      </c>
      <c r="B71" s="44">
        <f t="shared" si="14"/>
        <v>3.421811831166599E-2</v>
      </c>
      <c r="C71" s="44">
        <f t="shared" si="15"/>
        <v>0.14970426761353883</v>
      </c>
      <c r="D71" s="44">
        <f t="shared" si="16"/>
        <v>0.34458714456044914</v>
      </c>
      <c r="E71" s="44">
        <f t="shared" si="17"/>
        <v>0.56383038112572348</v>
      </c>
      <c r="F71" s="44">
        <f t="shared" si="18"/>
        <v>0.74881686197767361</v>
      </c>
      <c r="G71" s="44">
        <f t="shared" si="19"/>
        <v>9.0743170611315982E-3</v>
      </c>
      <c r="H71" s="44">
        <f t="shared" si="20"/>
        <v>3.5748418422280492E-2</v>
      </c>
      <c r="I71" s="44">
        <f t="shared" si="21"/>
        <v>0.19704337509047787</v>
      </c>
      <c r="X71">
        <f t="shared" si="22"/>
        <v>13.475000000000003</v>
      </c>
      <c r="Y71" s="56">
        <f t="shared" ref="Y71:Y83" si="23">B70-B71</f>
        <v>4.5560895200559282E-3</v>
      </c>
    </row>
    <row r="72" spans="1:25">
      <c r="A72" s="39">
        <f t="shared" si="13"/>
        <v>14.000000000000004</v>
      </c>
      <c r="B72" s="44">
        <f t="shared" si="14"/>
        <v>3.019738342231848E-2</v>
      </c>
      <c r="C72" s="44">
        <f t="shared" si="15"/>
        <v>0.13588822540043322</v>
      </c>
      <c r="D72" s="44">
        <f t="shared" si="16"/>
        <v>0.32084719886213386</v>
      </c>
      <c r="E72" s="44">
        <f t="shared" si="17"/>
        <v>0.53663266790078479</v>
      </c>
      <c r="F72" s="44">
        <f t="shared" si="18"/>
        <v>0.72544495330960435</v>
      </c>
      <c r="G72" s="44">
        <f t="shared" si="19"/>
        <v>7.2950557244361169E-3</v>
      </c>
      <c r="H72" s="44">
        <f t="shared" si="20"/>
        <v>2.9636163880521815E-2</v>
      </c>
      <c r="I72" s="44">
        <f t="shared" si="21"/>
        <v>0.17299160788207124</v>
      </c>
      <c r="X72">
        <f t="shared" si="22"/>
        <v>13.975000000000003</v>
      </c>
      <c r="Y72" s="56">
        <f t="shared" si="23"/>
        <v>4.0207348893475103E-3</v>
      </c>
    </row>
    <row r="73" spans="1:25">
      <c r="A73" s="39">
        <f t="shared" si="13"/>
        <v>14.500000000000004</v>
      </c>
      <c r="B73" s="44">
        <f t="shared" si="14"/>
        <v>2.6649097336355454E-2</v>
      </c>
      <c r="C73" s="44">
        <f t="shared" si="15"/>
        <v>0.12325207518064407</v>
      </c>
      <c r="D73" s="44">
        <f t="shared" si="16"/>
        <v>0.29834497252341707</v>
      </c>
      <c r="E73" s="44">
        <f t="shared" si="17"/>
        <v>0.50991555681260126</v>
      </c>
      <c r="F73" s="44">
        <f t="shared" si="18"/>
        <v>0.70165139882467442</v>
      </c>
      <c r="G73" s="44">
        <f t="shared" si="19"/>
        <v>5.8589387079510669E-3</v>
      </c>
      <c r="H73" s="44">
        <f t="shared" si="20"/>
        <v>2.452320936471919E-2</v>
      </c>
      <c r="I73" s="44">
        <f t="shared" si="21"/>
        <v>0.15138192398494077</v>
      </c>
      <c r="X73">
        <f t="shared" si="22"/>
        <v>14.475000000000003</v>
      </c>
      <c r="Y73" s="56">
        <f t="shared" si="23"/>
        <v>3.5482860859630261E-3</v>
      </c>
    </row>
    <row r="74" spans="1:25">
      <c r="A74" s="39">
        <f t="shared" si="13"/>
        <v>15.000000000000004</v>
      </c>
      <c r="B74" s="44">
        <f t="shared" si="14"/>
        <v>2.3517745856009076E-2</v>
      </c>
      <c r="C74" s="44">
        <f t="shared" si="15"/>
        <v>0.11170929281604325</v>
      </c>
      <c r="D74" s="44">
        <f t="shared" si="16"/>
        <v>0.27706844336610714</v>
      </c>
      <c r="E74" s="44">
        <f t="shared" si="17"/>
        <v>0.48376738155368726</v>
      </c>
      <c r="F74" s="44">
        <f t="shared" si="18"/>
        <v>0.67754763610454338</v>
      </c>
      <c r="G74" s="44">
        <f t="shared" si="19"/>
        <v>4.7012171462565977E-3</v>
      </c>
      <c r="H74" s="44">
        <f t="shared" si="20"/>
        <v>2.0256715056664376E-2</v>
      </c>
      <c r="I74" s="44">
        <f t="shared" si="21"/>
        <v>0.13206185628772049</v>
      </c>
      <c r="X74">
        <f t="shared" si="22"/>
        <v>14.975000000000003</v>
      </c>
      <c r="Y74" s="56">
        <f t="shared" si="23"/>
        <v>3.1313514803463782E-3</v>
      </c>
    </row>
    <row r="75" spans="1:25">
      <c r="A75" s="39">
        <f t="shared" si="13"/>
        <v>15.500000000000004</v>
      </c>
      <c r="B75" s="44">
        <f t="shared" si="14"/>
        <v>2.0754337873699735E-2</v>
      </c>
      <c r="C75" s="44">
        <f t="shared" si="15"/>
        <v>0.1011773971342862</v>
      </c>
      <c r="D75" s="44">
        <f t="shared" si="16"/>
        <v>0.25699707445167252</v>
      </c>
      <c r="E75" s="44">
        <f t="shared" si="17"/>
        <v>0.45826415765329642</v>
      </c>
      <c r="F75" s="44">
        <f t="shared" si="18"/>
        <v>0.65324164450486966</v>
      </c>
      <c r="G75" s="44">
        <f t="shared" si="19"/>
        <v>3.7689972300372077E-3</v>
      </c>
      <c r="H75" s="44">
        <f t="shared" si="20"/>
        <v>1.6704734151700817E-2</v>
      </c>
      <c r="I75" s="44">
        <f t="shared" si="21"/>
        <v>0.11486811277078357</v>
      </c>
      <c r="X75">
        <f t="shared" si="22"/>
        <v>15.475000000000003</v>
      </c>
      <c r="Y75" s="56">
        <f t="shared" si="23"/>
        <v>2.7634079823093405E-3</v>
      </c>
    </row>
    <row r="76" spans="1:25">
      <c r="A76" s="39">
        <f t="shared" si="13"/>
        <v>16.000000000000004</v>
      </c>
      <c r="B76" s="44">
        <f t="shared" si="14"/>
        <v>1.831563888873422E-2</v>
      </c>
      <c r="C76" s="44">
        <f t="shared" si="15"/>
        <v>9.1578194443670879E-2</v>
      </c>
      <c r="D76" s="44">
        <f t="shared" si="16"/>
        <v>0.2381033055535442</v>
      </c>
      <c r="E76" s="44">
        <f t="shared" si="17"/>
        <v>0.43347012036670873</v>
      </c>
      <c r="F76" s="44">
        <f t="shared" si="18"/>
        <v>0.62883693517987327</v>
      </c>
      <c r="G76" s="44">
        <f t="shared" si="19"/>
        <v>3.0191636511225362E-3</v>
      </c>
      <c r="H76" s="44">
        <f t="shared" si="20"/>
        <v>1.3753967744002948E-2</v>
      </c>
      <c r="I76" s="44">
        <f t="shared" si="21"/>
        <v>9.9632400487045913E-2</v>
      </c>
      <c r="X76">
        <f t="shared" si="22"/>
        <v>15.975000000000003</v>
      </c>
      <c r="Y76" s="56">
        <f t="shared" si="23"/>
        <v>2.438698984965515E-3</v>
      </c>
    </row>
    <row r="77" spans="1:25">
      <c r="A77" s="39">
        <f t="shared" ref="A77:A84" si="24">A76+0.5</f>
        <v>16.500000000000004</v>
      </c>
      <c r="B77" s="44">
        <f t="shared" si="14"/>
        <v>1.6163494588165905E-2</v>
      </c>
      <c r="C77" s="44">
        <f t="shared" si="15"/>
        <v>8.2837909764350015E-2</v>
      </c>
      <c r="D77" s="44">
        <f t="shared" si="16"/>
        <v>0.22035389106522996</v>
      </c>
      <c r="E77" s="44">
        <f t="shared" si="17"/>
        <v>0.40943836535393985</v>
      </c>
      <c r="F77" s="44">
        <f t="shared" si="18"/>
        <v>0.60443172946417201</v>
      </c>
      <c r="G77" s="44">
        <f t="shared" si="19"/>
        <v>2.416641655040408E-3</v>
      </c>
      <c r="H77" s="44">
        <f t="shared" si="20"/>
        <v>1.1307596933212816E-2</v>
      </c>
      <c r="I77" s="44">
        <f t="shared" si="21"/>
        <v>8.6186110916570691E-2</v>
      </c>
      <c r="X77">
        <f t="shared" si="22"/>
        <v>16.475000000000005</v>
      </c>
      <c r="Y77" s="56">
        <f t="shared" si="23"/>
        <v>2.152144300568315E-3</v>
      </c>
    </row>
    <row r="78" spans="1:25">
      <c r="A78" s="39">
        <f t="shared" si="24"/>
        <v>17.000000000000004</v>
      </c>
      <c r="B78" s="44">
        <f t="shared" si="14"/>
        <v>1.4264233908999224E-2</v>
      </c>
      <c r="C78" s="44">
        <f t="shared" si="15"/>
        <v>7.4887228022246011E-2</v>
      </c>
      <c r="D78" s="44">
        <f t="shared" si="16"/>
        <v>0.20371109051289549</v>
      </c>
      <c r="E78" s="44">
        <f t="shared" si="17"/>
        <v>0.38621156237464893</v>
      </c>
      <c r="F78" s="44">
        <f t="shared" si="18"/>
        <v>0.5801183137277619</v>
      </c>
      <c r="G78" s="44">
        <f t="shared" si="19"/>
        <v>1.9329495056010781E-3</v>
      </c>
      <c r="H78" s="44">
        <f t="shared" si="20"/>
        <v>9.2832443361106076E-3</v>
      </c>
      <c r="I78" s="44">
        <f t="shared" si="21"/>
        <v>7.4363979814580317E-2</v>
      </c>
      <c r="X78">
        <f t="shared" si="22"/>
        <v>16.975000000000005</v>
      </c>
      <c r="Y78" s="56">
        <f t="shared" si="23"/>
        <v>1.8992606791666811E-3</v>
      </c>
    </row>
    <row r="79" spans="1:25">
      <c r="A79" s="39">
        <f t="shared" si="24"/>
        <v>17.500000000000004</v>
      </c>
      <c r="B79" s="44">
        <f t="shared" si="14"/>
        <v>1.2588142242433986E-2</v>
      </c>
      <c r="C79" s="44">
        <f t="shared" si="15"/>
        <v>6.7661264553082745E-2</v>
      </c>
      <c r="D79" s="44">
        <f t="shared" si="16"/>
        <v>0.18813371960762681</v>
      </c>
      <c r="E79" s="44">
        <f t="shared" si="17"/>
        <v>0.36382271656217025</v>
      </c>
      <c r="F79" s="44">
        <f t="shared" si="18"/>
        <v>0.55598255698120203</v>
      </c>
      <c r="G79" s="44">
        <f t="shared" si="19"/>
        <v>1.5449979198784991E-3</v>
      </c>
      <c r="H79" s="44">
        <f t="shared" si="20"/>
        <v>7.6110955219659271E-3</v>
      </c>
      <c r="I79" s="44">
        <f t="shared" si="21"/>
        <v>6.4006846666371686E-2</v>
      </c>
      <c r="X79">
        <f t="shared" si="22"/>
        <v>17.475000000000005</v>
      </c>
      <c r="Y79" s="56">
        <f t="shared" si="23"/>
        <v>1.6760916665652381E-3</v>
      </c>
    </row>
    <row r="80" spans="1:25">
      <c r="A80" s="39">
        <f t="shared" si="24"/>
        <v>18.000000000000004</v>
      </c>
      <c r="B80" s="44">
        <f t="shared" si="14"/>
        <v>1.1108996538242266E-2</v>
      </c>
      <c r="C80" s="44">
        <f t="shared" si="15"/>
        <v>6.1099480960332686E-2</v>
      </c>
      <c r="D80" s="44">
        <f t="shared" si="16"/>
        <v>0.17357807091003596</v>
      </c>
      <c r="E80" s="44">
        <f t="shared" si="17"/>
        <v>0.34229595583459083</v>
      </c>
      <c r="F80" s="44">
        <f t="shared" si="18"/>
        <v>0.53210357637471517</v>
      </c>
      <c r="G80" s="44">
        <f t="shared" si="19"/>
        <v>1.2340980408667157E-3</v>
      </c>
      <c r="H80" s="44">
        <f t="shared" si="20"/>
        <v>6.2321951063772918E-3</v>
      </c>
      <c r="I80" s="44">
        <f t="shared" si="21"/>
        <v>5.4963641495104909E-2</v>
      </c>
      <c r="X80">
        <f t="shared" si="22"/>
        <v>17.975000000000005</v>
      </c>
      <c r="Y80" s="56">
        <f t="shared" si="23"/>
        <v>1.47914570419172E-3</v>
      </c>
    </row>
    <row r="81" spans="1:25">
      <c r="A81" s="39">
        <f t="shared" si="24"/>
        <v>18.500000000000004</v>
      </c>
      <c r="B81" s="44">
        <f t="shared" si="14"/>
        <v>9.8036550358218122E-3</v>
      </c>
      <c r="C81" s="44">
        <f t="shared" si="15"/>
        <v>5.5145559576497805E-2</v>
      </c>
      <c r="D81" s="44">
        <f t="shared" si="16"/>
        <v>0.15999871382681086</v>
      </c>
      <c r="E81" s="44">
        <f t="shared" si="17"/>
        <v>0.3216473266293769</v>
      </c>
      <c r="F81" s="44">
        <f t="shared" si="18"/>
        <v>0.50855353518234403</v>
      </c>
      <c r="G81" s="44">
        <f t="shared" si="19"/>
        <v>9.8514443362929249E-4</v>
      </c>
      <c r="H81" s="44">
        <f t="shared" si="20"/>
        <v>5.0969210483808869E-3</v>
      </c>
      <c r="I81" s="44">
        <f t="shared" si="21"/>
        <v>4.7092722827171252E-2</v>
      </c>
      <c r="X81">
        <f t="shared" si="22"/>
        <v>18.475000000000005</v>
      </c>
      <c r="Y81" s="56">
        <f t="shared" si="23"/>
        <v>1.305341502420454E-3</v>
      </c>
    </row>
    <row r="82" spans="1:25">
      <c r="A82" s="39">
        <f t="shared" si="24"/>
        <v>19.000000000000004</v>
      </c>
      <c r="B82" s="44">
        <f t="shared" si="14"/>
        <v>8.6516952031205907E-3</v>
      </c>
      <c r="C82" s="44">
        <f t="shared" si="15"/>
        <v>4.9747247417943674E-2</v>
      </c>
      <c r="D82" s="44">
        <f t="shared" si="16"/>
        <v>0.14734918392814822</v>
      </c>
      <c r="E82" s="44">
        <f t="shared" si="17"/>
        <v>0.30188558340263882</v>
      </c>
      <c r="F82" s="44">
        <f t="shared" si="18"/>
        <v>0.4853975577785965</v>
      </c>
      <c r="G82" s="44">
        <f t="shared" si="19"/>
        <v>7.8594421382083279E-4</v>
      </c>
      <c r="H82" s="44">
        <f t="shared" si="20"/>
        <v>4.1636330375033337E-3</v>
      </c>
      <c r="I82" s="44">
        <f t="shared" si="21"/>
        <v>4.0262682340609923E-2</v>
      </c>
      <c r="X82">
        <f t="shared" si="22"/>
        <v>18.975000000000005</v>
      </c>
      <c r="Y82" s="56">
        <f t="shared" si="23"/>
        <v>1.1519598327012215E-3</v>
      </c>
    </row>
    <row r="83" spans="1:25">
      <c r="A83" s="39">
        <f t="shared" si="24"/>
        <v>19.500000000000004</v>
      </c>
      <c r="B83" s="44">
        <f t="shared" si="14"/>
        <v>7.6350942188599946E-3</v>
      </c>
      <c r="C83" s="44">
        <f t="shared" si="15"/>
        <v>4.485617853580226E-2</v>
      </c>
      <c r="D83" s="44">
        <f t="shared" si="16"/>
        <v>0.13558257155834907</v>
      </c>
      <c r="E83" s="44">
        <f t="shared" si="17"/>
        <v>0.28301296021998779</v>
      </c>
      <c r="F83" s="44">
        <f t="shared" si="18"/>
        <v>0.46269374640135985</v>
      </c>
      <c r="G83" s="44">
        <f t="shared" si="19"/>
        <v>6.2666763510677015E-4</v>
      </c>
      <c r="H83" s="44">
        <f t="shared" si="20"/>
        <v>3.3974858705647648E-3</v>
      </c>
      <c r="I83" s="44">
        <f t="shared" si="21"/>
        <v>3.4352720844820439E-2</v>
      </c>
      <c r="X83">
        <f t="shared" si="22"/>
        <v>19.475000000000005</v>
      </c>
      <c r="Y83" s="56">
        <f t="shared" si="23"/>
        <v>1.0166009842605961E-3</v>
      </c>
    </row>
    <row r="84" spans="1:25">
      <c r="A84" s="39">
        <f t="shared" si="24"/>
        <v>20.000000000000004</v>
      </c>
      <c r="B84" s="44">
        <f t="shared" si="14"/>
        <v>6.7379469990854757E-3</v>
      </c>
      <c r="C84" s="44">
        <f t="shared" si="15"/>
        <v>4.0427681994512743E-2</v>
      </c>
      <c r="D84" s="44">
        <f t="shared" si="16"/>
        <v>0.12465201948308113</v>
      </c>
      <c r="E84" s="44">
        <f t="shared" si="17"/>
        <v>0.26502591529736153</v>
      </c>
      <c r="F84" s="44">
        <f t="shared" si="18"/>
        <v>0.44049328506521213</v>
      </c>
      <c r="G84" s="44">
        <f t="shared" si="19"/>
        <v>4.9939922738739817E-4</v>
      </c>
      <c r="H84" s="44">
        <f t="shared" si="20"/>
        <v>2.7693957155114912E-3</v>
      </c>
      <c r="I84" s="44">
        <f t="shared" si="21"/>
        <v>2.925268807696102E-2</v>
      </c>
    </row>
  </sheetData>
  <mergeCells count="1">
    <mergeCell ref="B2:I2"/>
  </mergeCells>
  <phoneticPr fontId="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_@RISKFitInformation</vt:lpstr>
      <vt:lpstr>Arivées de Poisson</vt:lpstr>
      <vt:lpstr>Monte Carlo</vt:lpstr>
      <vt:lpstr>Génération-Reconnaissance</vt:lpstr>
      <vt:lpstr>Exemple 1 - Définition de R</vt:lpstr>
      <vt:lpstr>Exemple 1 - Simulation</vt:lpstr>
      <vt:lpstr>LOI_Normale</vt:lpstr>
      <vt:lpstr>File d'attente</vt:lpstr>
      <vt:lpstr>ERLANG</vt:lpstr>
    </vt:vector>
  </TitlesOfParts>
  <Company>Université Paris-Dauphine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Illustration du curs de Simulatuion</dc:title>
  <dc:creator>V. GIARD</dc:creator>
  <dc:description>Distributions de probabilités_x000d_
Monte Carlo_x000d_
@Risk</dc:description>
  <cp:lastModifiedBy>Ahlam AZZAMOURI</cp:lastModifiedBy>
  <dcterms:created xsi:type="dcterms:W3CDTF">2006-01-15T17:52:17Z</dcterms:created>
  <dcterms:modified xsi:type="dcterms:W3CDTF">2026-10-01T08:30:06Z</dcterms:modified>
</cp:coreProperties>
</file>